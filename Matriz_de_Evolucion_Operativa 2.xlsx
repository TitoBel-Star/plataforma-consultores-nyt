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mili\OneDrive\Desktop\Developer\Diagnóstico de preguntas revela fugas operativas\"/>
    </mc:Choice>
  </mc:AlternateContent>
  <xr:revisionPtr revIDLastSave="0" documentId="13_ncr:1_{02F9E290-3113-488C-9DA7-865BE7FF3010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Matriz Evolutiva Operativa" sheetId="1" r:id="rId1"/>
    <sheet name="Modulos" sheetId="6" r:id="rId2"/>
    <sheet name="Paquetes y Licencias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6" l="1"/>
  <c r="C21" i="6"/>
  <c r="D21" i="6"/>
  <c r="B21" i="6"/>
</calcChain>
</file>

<file path=xl/sharedStrings.xml><?xml version="1.0" encoding="utf-8"?>
<sst xmlns="http://schemas.openxmlformats.org/spreadsheetml/2006/main" count="178" uniqueCount="132">
  <si>
    <t>MATRIZ DE EVOLUCIÓN OPERATIVA</t>
  </si>
  <si>
    <t>ETAPA / CULTURA</t>
  </si>
  <si>
    <t>TALENTO HUMANO</t>
  </si>
  <si>
    <t>PROCESOS</t>
  </si>
  <si>
    <t>DATOS</t>
  </si>
  <si>
    <t>Infancia (Inestable)</t>
  </si>
  <si>
    <t>Sin ERP / Excel básico</t>
  </si>
  <si>
    <t>Enfoque administrativo/compras</t>
  </si>
  <si>
    <t>Sin procesos formales</t>
  </si>
  <si>
    <t>Registros manuales</t>
  </si>
  <si>
    <t>Juventud (Estable/Eficiente)</t>
  </si>
  <si>
    <t>ERP con módulos básicos</t>
  </si>
  <si>
    <t>Enfoque agresivo en ventas</t>
  </si>
  <si>
    <t>Prácticas iniciales de mejora</t>
  </si>
  <si>
    <t>KPIs básicos de ventas</t>
  </si>
  <si>
    <t>Madurez (Proactiva)</t>
  </si>
  <si>
    <t>Integración BPM, CRM, BI</t>
  </si>
  <si>
    <t>Gestión por conocimiento y resultados</t>
  </si>
  <si>
    <t>Lean y Six Sigma integrales</t>
  </si>
  <si>
    <t>KPIs de eficiencia operacional</t>
  </si>
  <si>
    <t>Plenitud (Futurista)</t>
  </si>
  <si>
    <t>IA, Big Data, Blockchain</t>
  </si>
  <si>
    <t>Análisis predictivo de procesos</t>
  </si>
  <si>
    <t>Mejores prácticas globales</t>
  </si>
  <si>
    <t>KPIs internos, externos y de proveedores</t>
  </si>
  <si>
    <t>APLICACIONES TECNOLOGICAS  RECOMENDADAS</t>
  </si>
  <si>
    <t>PLAN RECOMENDADO</t>
  </si>
  <si>
    <t>1. NyTEX Auto-Guiado</t>
  </si>
  <si>
    <t>2. NyTEX Express</t>
  </si>
  <si>
    <t>3. NyTEX Advanced</t>
  </si>
  <si>
    <t>4. NyTEX Enterprise</t>
  </si>
  <si>
    <t>NyTEX Auto-Guiado (Self-Service)</t>
  </si>
  <si>
    <t>NyTEX Express</t>
  </si>
  <si>
    <t>NyTEX Advanced</t>
  </si>
  <si>
    <t>NyTEX Enterprise</t>
  </si>
  <si>
    <t>$1,500 USD</t>
  </si>
  <si>
    <t>$4,500 USD</t>
  </si>
  <si>
    <t>Cotización a Medida</t>
  </si>
  <si>
    <t>Tiempo de Salida (Go-Live)</t>
  </si>
  <si>
    <t>2 a 3 semanas</t>
  </si>
  <si>
    <t>1 a 2 meses</t>
  </si>
  <si>
    <t>3+ meses</t>
  </si>
  <si>
    <t>$0 USD (¡Gratis!)</t>
  </si>
  <si>
    <t>Característica / Paquete</t>
  </si>
  <si>
    <t>¿Cómo funciona la ejecución?</t>
  </si>
  <si>
    <t>Facturación de la Implementación</t>
  </si>
  <si>
    <t>Facturación de Licencias</t>
  </si>
  <si>
    <t>Soporte Incluido</t>
  </si>
  <si>
    <t>Tabla Maestra Actualizada (Tarifa Plana por Módulos)</t>
  </si>
  <si>
    <t>Precio Fijo de Implementación</t>
  </si>
  <si>
    <t>PRECIO LICENCIA (TARIFA PLANA)</t>
  </si>
  <si>
    <t>(Fijo para toda la empresa)</t>
  </si>
  <si>
    <t>$149 USD / mes</t>
  </si>
  <si>
    <t>$299 USD / mes</t>
  </si>
  <si>
    <t>$499 USD / mes</t>
  </si>
  <si>
    <t>Acceso a Módulos (Software)</t>
  </si>
  <si>
    <t>Hasta 6 Módulos</t>
  </si>
  <si>
    <t>(Se suma Compras, Contabilidad, etc.)</t>
  </si>
  <si>
    <t>Hasta 10 Módulos</t>
  </si>
  <si>
    <t>(Se suma Producción, Nómina, RRHH, etc.)</t>
  </si>
  <si>
    <t>(Full Suite + Configuración Avanzada)</t>
  </si>
  <si>
    <t>Usuarios Incluidos</t>
  </si>
  <si>
    <t>Ilimitados</t>
  </si>
  <si>
    <t>¿Qué incluye el Partner? (Implementación)</t>
  </si>
  <si>
    <t>Usas nuestro Asistente de Configuración (Wizard) en la web y academia en video.</t>
  </si>
  <si>
    <t>Un Partner lidera la configuración basándose en mejores prácticas estándar para salir rápido.</t>
  </si>
  <si>
    <t>Un Partner hace ingeniería de procesos y personaliza el sistema para cada departamento.</t>
  </si>
  <si>
    <t>Un equipo de consultores actúa como tu departamento de TI, ejecutando el proyecto por fases.</t>
  </si>
  <si>
    <t>No aplica</t>
  </si>
  <si>
    <t>Soporte vía Tickets / Email directamente con NyTEX</t>
  </si>
  <si>
    <t>Soporte humano con tu Partner asignado</t>
  </si>
  <si>
    <t>Soporte VIP con tu Partner asignado</t>
  </si>
  <si>
    <t>Soporte Dedicado del Partner + Soporte Nivel 2 Prioritario de NyTEX</t>
  </si>
  <si>
    <t>¿Por qué esta estructura es un arma letal en el mercado?</t>
  </si>
  <si>
    <t>Ambos ganan más dinero conforme la empresa del cliente crece y se vuelve más compleja. ¿Te cuadran mejor estos montos de Tarifa Plana ($49, $149, $299, $499) para tus expectativas de ingresos?</t>
  </si>
  <si>
    <r>
      <t>Inmediato</t>
    </r>
    <r>
      <rPr>
        <sz val="11"/>
        <rFont val="Segoe UI"/>
        <family val="2"/>
      </rPr>
      <t> (A tu propio ritmo)</t>
    </r>
  </si>
  <si>
    <r>
      <t>Facturado directamente por el </t>
    </r>
    <r>
      <rPr>
        <sz val="11"/>
        <rFont val="Segoe UI"/>
        <family val="2"/>
      </rPr>
      <t>Partner</t>
    </r>
  </si>
  <si>
    <r>
      <t>Facturado automáticamente por </t>
    </r>
    <r>
      <rPr>
        <sz val="11"/>
        <rFont val="Segoe UI"/>
        <family val="2"/>
      </rPr>
      <t>NyTEX</t>
    </r>
  </si>
  <si>
    <r>
      <t>1. Destroza a la competencia:</t>
    </r>
    <r>
      <rPr>
        <sz val="8"/>
        <rFont val="Segoe UI"/>
        <family val="2"/>
      </rPr>
      <t> Tus competidores (SAP, Odoo, Oracle) castigan al cliente por contratar más gente (cobrando por usuario). Tú le dices al cliente: </t>
    </r>
    <r>
      <rPr>
        <i/>
        <sz val="8"/>
        <rFont val="Segoe UI"/>
        <family val="2"/>
      </rPr>
      <t>"Contrata a todos los empleados que quieras, dales acceso al sistema; solo págame por el tamaño de tu operación (los módulos)"</t>
    </r>
    <r>
      <rPr>
        <sz val="8"/>
        <rFont val="Segoe UI"/>
        <family val="2"/>
      </rPr>
      <t>.</t>
    </r>
  </si>
  <si>
    <r>
      <t>2. Upselling natural para ti y el Partner:</t>
    </r>
    <r>
      <rPr>
        <sz val="8"/>
        <rFont val="Segoe UI"/>
        <family val="2"/>
      </rPr>
      <t> Cuando la empresa pequeña (Plan de $49) empieza a crecer y de pronto necesita automatizar su </t>
    </r>
    <r>
      <rPr>
        <i/>
        <sz val="8"/>
        <rFont val="Segoe UI"/>
        <family val="2"/>
      </rPr>
      <t>Nómina</t>
    </r>
    <r>
      <rPr>
        <sz val="8"/>
        <rFont val="Segoe UI"/>
        <family val="2"/>
      </rPr>
      <t> o </t>
    </r>
    <r>
      <rPr>
        <i/>
        <sz val="8"/>
        <rFont val="Segoe UI"/>
        <family val="2"/>
      </rPr>
      <t>Producción</t>
    </r>
    <r>
      <rPr>
        <sz val="8"/>
        <rFont val="Segoe UI"/>
        <family val="2"/>
      </rPr>
      <t>, forzosamente tendrán que subir de nivel de licencia (a $149 o $299). Y al hacerlo, </t>
    </r>
    <r>
      <rPr>
        <sz val="8"/>
        <rFont val="Segoe UI"/>
        <family val="2"/>
      </rPr>
      <t>necesitarán contratar a tu Partner</t>
    </r>
    <r>
      <rPr>
        <sz val="8"/>
        <rFont val="Segoe UI"/>
        <family val="2"/>
      </rPr>
      <t> para que les implemente esos nuevos módulos.</t>
    </r>
  </si>
  <si>
    <t>Todos los Módulos</t>
  </si>
  <si>
    <t xml:space="preserve"> Cero intervención humana.</t>
  </si>
  <si>
    <t xml:space="preserve"> Levantamiento rápido</t>
  </si>
  <si>
    <t xml:space="preserve"> GAP Analysis profundo</t>
  </si>
  <si>
    <t xml:space="preserve"> Arquitectura a medida</t>
  </si>
  <si>
    <t xml:space="preserve"> Proveen link de acceso.</t>
  </si>
  <si>
    <t xml:space="preserve"> Configuración de 3 a 6 módulos</t>
  </si>
  <si>
    <t xml:space="preserve"> Configuración de hasta 10 módulos</t>
  </si>
  <si>
    <t xml:space="preserve"> Integraciones con APIs</t>
  </si>
  <si>
    <t xml:space="preserve"> Migración básica (Excel)</t>
  </si>
  <si>
    <t xml:space="preserve"> Automatización de procesos</t>
  </si>
  <si>
    <t xml:space="preserve"> Desarrollo de BI</t>
  </si>
  <si>
    <t xml:space="preserve"> Capacitación grupal online</t>
  </si>
  <si>
    <t xml:space="preserve"> Capacitación por áreas</t>
  </si>
  <si>
    <t xml:space="preserve"> Migración de DBs complejas</t>
  </si>
  <si>
    <t xml:space="preserve"> Pruebas UAT exhaustivas</t>
  </si>
  <si>
    <t>(Ventas, Inventario)</t>
  </si>
  <si>
    <t>NyTEX Ventas</t>
  </si>
  <si>
    <t>NyTEX CRM</t>
  </si>
  <si>
    <t>NyTEX Inventario</t>
  </si>
  <si>
    <t>NyTEX Compras</t>
  </si>
  <si>
    <t>NyTEX Contabilidad</t>
  </si>
  <si>
    <t>NyTEX Tesorería</t>
  </si>
  <si>
    <t>NyTEX Activos Fijos</t>
  </si>
  <si>
    <t>NyTEX Logística</t>
  </si>
  <si>
    <t>NyTEX RRHH</t>
  </si>
  <si>
    <t>NyTEX Nómina</t>
  </si>
  <si>
    <t>NyTEX Process Suite</t>
  </si>
  <si>
    <t>NyTEX Business Partners</t>
  </si>
  <si>
    <t>NyTEX Configuración</t>
  </si>
  <si>
    <t>MÓDULOS / PAQUETES</t>
  </si>
  <si>
    <t>X</t>
  </si>
  <si>
    <t>NyTEX Mineria de Datos</t>
  </si>
  <si>
    <t>NyTEX Servicio al cliente</t>
  </si>
  <si>
    <t>NyTEX BI/KPI y Analytics</t>
  </si>
  <si>
    <t>NyTEX Cuentas por Cobrar</t>
  </si>
  <si>
    <t>NyTEX Cuentas por Pagar</t>
  </si>
  <si>
    <t>APLICACIONES TECNOLOGICAS QUE USAN</t>
  </si>
  <si>
    <t>Para microempresas, autónomos o negocios que apenas empiezan.</t>
  </si>
  <si>
    <t>📈 NyTEX Lite (o Starter)</t>
  </si>
  <si>
    <t>📈 NyTEX Standard</t>
  </si>
  <si>
    <t>Para pequeñas empresas que necesitan el control básico del día a día.</t>
  </si>
  <si>
    <t>📈 NyTEX Professional (o Pro)</t>
  </si>
  <si>
    <t>Para medianas empresas con procesos integrados y más usuarios.</t>
  </si>
  <si>
    <t>📈 NyTEX Enterprise</t>
  </si>
  <si>
    <t>Para corporativos, grandes empresas o negocios que requieren personalización</t>
  </si>
  <si>
    <t>ORIENTADO A QUE TIPO DE EMPRESA</t>
  </si>
  <si>
    <t>📈 NyTEX starter (Auto-Guiado)</t>
  </si>
  <si>
    <t>📈 NyTEX Express</t>
  </si>
  <si>
    <t>📈 NyTEX Advanced</t>
  </si>
  <si>
    <t>$35 USD / mes</t>
  </si>
  <si>
    <t>Hasta 1 Módulos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</si>
</sst>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6"/>
      <color rgb="FF333333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Segoe UI"/>
      <family val="2"/>
    </font>
    <font>
      <sz val="10"/>
      <name val="Segoe UI"/>
      <family val="2"/>
    </font>
    <font>
      <sz val="11"/>
      <name val="Calibri"/>
      <family val="2"/>
      <scheme val="minor"/>
    </font>
    <font>
      <sz val="11"/>
      <name val="Segoe UI"/>
      <family val="2"/>
    </font>
    <font>
      <sz val="11"/>
      <name val="Segoe UI"/>
      <family val="2"/>
    </font>
    <font>
      <i/>
      <sz val="11"/>
      <name val="Segoe UI"/>
      <family val="2"/>
    </font>
    <font>
      <sz val="11"/>
      <name val="Segoe UI"/>
      <family val="2"/>
    </font>
    <font>
      <sz val="8"/>
      <name val="Segoe UI"/>
      <family val="2"/>
    </font>
    <font>
      <sz val="8"/>
      <name val="Segoe UI"/>
      <family val="2"/>
    </font>
    <font>
      <i/>
      <sz val="8"/>
      <name val="Segoe UI"/>
      <family val="2"/>
    </font>
    <font>
      <sz val="10"/>
      <name val="Segoe UI"/>
      <family val="2"/>
    </font>
    <font>
      <b/>
      <sz val="11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64646"/>
        <bgColor rgb="FF464646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6" fillId="0" borderId="0" xfId="0" applyFont="1"/>
    <xf numFmtId="0" fontId="5" fillId="0" borderId="0" xfId="0" applyFont="1" applyAlignment="1">
      <alignment vertical="center"/>
    </xf>
    <xf numFmtId="0" fontId="11" fillId="0" borderId="0" xfId="0" applyFont="1" applyAlignment="1">
      <alignment horizontal="left" vertical="center" indent="1"/>
    </xf>
    <xf numFmtId="0" fontId="12" fillId="0" borderId="0" xfId="0" applyFont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8" fillId="0" borderId="13" xfId="0" applyFont="1" applyBorder="1" applyAlignment="1">
      <alignment horizontal="left" vertical="top" wrapText="1"/>
    </xf>
    <xf numFmtId="0" fontId="8" fillId="0" borderId="14" xfId="0" applyFont="1" applyBorder="1" applyAlignment="1">
      <alignment horizontal="left" vertical="top" wrapText="1"/>
    </xf>
    <xf numFmtId="0" fontId="14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top" wrapText="1"/>
    </xf>
    <xf numFmtId="0" fontId="8" fillId="0" borderId="5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5" sqref="H5"/>
    </sheetView>
  </sheetViews>
  <sheetFormatPr baseColWidth="10" defaultColWidth="8.88671875" defaultRowHeight="14.4" x14ac:dyDescent="0.3"/>
  <cols>
    <col min="1" max="1" width="24.77734375" customWidth="1"/>
    <col min="2" max="4" width="25" customWidth="1"/>
    <col min="5" max="5" width="22.77734375" bestFit="1" customWidth="1"/>
    <col min="6" max="6" width="22.77734375" customWidth="1"/>
    <col min="7" max="7" width="22.77734375" bestFit="1" customWidth="1"/>
    <col min="8" max="8" width="40.109375" customWidth="1"/>
  </cols>
  <sheetData>
    <row r="1" spans="1:8" ht="40.049999999999997" customHeight="1" x14ac:dyDescent="0.3">
      <c r="A1" s="29" t="s">
        <v>0</v>
      </c>
    </row>
    <row r="3" spans="1:8" s="2" customFormat="1" ht="49.8" customHeight="1" x14ac:dyDescent="0.3">
      <c r="A3" s="30" t="s">
        <v>1</v>
      </c>
      <c r="B3" s="1" t="s">
        <v>2</v>
      </c>
      <c r="C3" s="1" t="s">
        <v>3</v>
      </c>
      <c r="D3" s="1" t="s">
        <v>4</v>
      </c>
      <c r="E3" s="30" t="s">
        <v>117</v>
      </c>
      <c r="F3" s="1" t="s">
        <v>26</v>
      </c>
      <c r="G3" s="1" t="s">
        <v>25</v>
      </c>
      <c r="H3" s="1" t="s">
        <v>126</v>
      </c>
    </row>
    <row r="4" spans="1:8" ht="25.8" customHeight="1" x14ac:dyDescent="0.3">
      <c r="A4" s="31" t="s">
        <v>5</v>
      </c>
      <c r="B4" s="31" t="s">
        <v>7</v>
      </c>
      <c r="C4" s="31" t="s">
        <v>8</v>
      </c>
      <c r="D4" s="31" t="s">
        <v>9</v>
      </c>
      <c r="E4" s="31" t="s">
        <v>6</v>
      </c>
      <c r="F4" s="31" t="s">
        <v>27</v>
      </c>
      <c r="G4" s="32" t="s">
        <v>119</v>
      </c>
      <c r="H4" s="32" t="s">
        <v>118</v>
      </c>
    </row>
    <row r="5" spans="1:8" ht="25.8" customHeight="1" x14ac:dyDescent="0.3">
      <c r="A5" s="31" t="s">
        <v>10</v>
      </c>
      <c r="B5" s="31" t="s">
        <v>12</v>
      </c>
      <c r="C5" s="31" t="s">
        <v>13</v>
      </c>
      <c r="D5" s="31" t="s">
        <v>14</v>
      </c>
      <c r="E5" s="31" t="s">
        <v>11</v>
      </c>
      <c r="F5" s="31" t="s">
        <v>28</v>
      </c>
      <c r="G5" s="31" t="s">
        <v>120</v>
      </c>
      <c r="H5" s="32" t="s">
        <v>121</v>
      </c>
    </row>
    <row r="6" spans="1:8" ht="25.8" customHeight="1" x14ac:dyDescent="0.3">
      <c r="A6" s="31" t="s">
        <v>15</v>
      </c>
      <c r="B6" s="31" t="s">
        <v>17</v>
      </c>
      <c r="C6" s="31" t="s">
        <v>18</v>
      </c>
      <c r="D6" s="31" t="s">
        <v>19</v>
      </c>
      <c r="E6" s="31" t="s">
        <v>16</v>
      </c>
      <c r="F6" s="31" t="s">
        <v>29</v>
      </c>
      <c r="G6" s="31" t="s">
        <v>122</v>
      </c>
      <c r="H6" s="32" t="s">
        <v>123</v>
      </c>
    </row>
    <row r="7" spans="1:8" ht="25.8" customHeight="1" x14ac:dyDescent="0.3">
      <c r="A7" s="31" t="s">
        <v>20</v>
      </c>
      <c r="B7" s="31" t="s">
        <v>22</v>
      </c>
      <c r="C7" s="31" t="s">
        <v>23</v>
      </c>
      <c r="D7" s="31" t="s">
        <v>24</v>
      </c>
      <c r="E7" s="31" t="s">
        <v>21</v>
      </c>
      <c r="F7" s="31" t="s">
        <v>30</v>
      </c>
      <c r="G7" t="s">
        <v>124</v>
      </c>
      <c r="H7" s="32" t="s">
        <v>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A52A-5C20-4905-8179-265421F22577}">
  <dimension ref="A1:E21"/>
  <sheetViews>
    <sheetView workbookViewId="0">
      <selection activeCell="B2" sqref="B2:E2"/>
    </sheetView>
  </sheetViews>
  <sheetFormatPr baseColWidth="10" defaultRowHeight="14.4" x14ac:dyDescent="0.3"/>
  <cols>
    <col min="1" max="1" width="23.88671875" customWidth="1"/>
    <col min="2" max="2" width="15.109375" customWidth="1"/>
  </cols>
  <sheetData>
    <row r="1" spans="1:5" ht="15" thickBot="1" x14ac:dyDescent="0.35"/>
    <row r="2" spans="1:5" ht="50.4" x14ac:dyDescent="0.3">
      <c r="A2" s="23" t="s">
        <v>110</v>
      </c>
      <c r="B2" s="25" t="s">
        <v>127</v>
      </c>
      <c r="C2" s="25" t="s">
        <v>128</v>
      </c>
      <c r="D2" s="25" t="s">
        <v>129</v>
      </c>
      <c r="E2" s="26" t="s">
        <v>124</v>
      </c>
    </row>
    <row r="3" spans="1:5" ht="15" x14ac:dyDescent="0.3">
      <c r="A3" s="27" t="s">
        <v>97</v>
      </c>
      <c r="B3" s="28" t="s">
        <v>111</v>
      </c>
      <c r="C3" s="28" t="s">
        <v>111</v>
      </c>
      <c r="D3" s="28" t="s">
        <v>111</v>
      </c>
      <c r="E3" s="28" t="s">
        <v>111</v>
      </c>
    </row>
    <row r="4" spans="1:5" ht="15" x14ac:dyDescent="0.3">
      <c r="A4" s="27" t="s">
        <v>99</v>
      </c>
      <c r="B4" s="28"/>
      <c r="C4" s="28" t="s">
        <v>111</v>
      </c>
      <c r="D4" s="28" t="s">
        <v>111</v>
      </c>
      <c r="E4" s="28" t="s">
        <v>111</v>
      </c>
    </row>
    <row r="5" spans="1:5" ht="15" x14ac:dyDescent="0.3">
      <c r="A5" s="27" t="s">
        <v>101</v>
      </c>
      <c r="B5" s="28"/>
      <c r="C5" s="28" t="s">
        <v>111</v>
      </c>
      <c r="D5" s="28" t="s">
        <v>111</v>
      </c>
      <c r="E5" s="28" t="s">
        <v>111</v>
      </c>
    </row>
    <row r="6" spans="1:5" ht="15" x14ac:dyDescent="0.3">
      <c r="A6" s="27" t="s">
        <v>115</v>
      </c>
      <c r="B6" s="28"/>
      <c r="C6" s="28" t="s">
        <v>111</v>
      </c>
      <c r="D6" s="28" t="s">
        <v>111</v>
      </c>
      <c r="E6" s="28" t="s">
        <v>111</v>
      </c>
    </row>
    <row r="7" spans="1:5" ht="15" x14ac:dyDescent="0.3">
      <c r="A7" s="27" t="s">
        <v>116</v>
      </c>
      <c r="B7" s="28"/>
      <c r="C7" s="28" t="s">
        <v>111</v>
      </c>
      <c r="D7" s="28" t="s">
        <v>111</v>
      </c>
      <c r="E7" s="28" t="s">
        <v>111</v>
      </c>
    </row>
    <row r="8" spans="1:5" ht="15" x14ac:dyDescent="0.3">
      <c r="A8" s="27" t="s">
        <v>100</v>
      </c>
      <c r="B8" s="28"/>
      <c r="C8" s="28" t="s">
        <v>111</v>
      </c>
      <c r="D8" s="28" t="s">
        <v>111</v>
      </c>
      <c r="E8" s="28" t="s">
        <v>111</v>
      </c>
    </row>
    <row r="9" spans="1:5" ht="15" x14ac:dyDescent="0.3">
      <c r="A9" s="27" t="s">
        <v>104</v>
      </c>
      <c r="B9" s="28"/>
      <c r="C9" s="28"/>
      <c r="D9" s="28" t="s">
        <v>111</v>
      </c>
      <c r="E9" s="28" t="s">
        <v>111</v>
      </c>
    </row>
    <row r="10" spans="1:5" ht="15" x14ac:dyDescent="0.3">
      <c r="A10" s="27" t="s">
        <v>98</v>
      </c>
      <c r="B10" s="28"/>
      <c r="C10" s="28"/>
      <c r="D10" s="28" t="s">
        <v>111</v>
      </c>
      <c r="E10" s="28" t="s">
        <v>111</v>
      </c>
    </row>
    <row r="11" spans="1:5" ht="27" customHeight="1" x14ac:dyDescent="0.3">
      <c r="A11" s="27" t="s">
        <v>106</v>
      </c>
      <c r="B11" s="28"/>
      <c r="C11" s="28"/>
      <c r="D11" s="28" t="s">
        <v>111</v>
      </c>
      <c r="E11" s="28" t="s">
        <v>111</v>
      </c>
    </row>
    <row r="12" spans="1:5" ht="15" x14ac:dyDescent="0.3">
      <c r="A12" s="27" t="s">
        <v>105</v>
      </c>
      <c r="B12" s="28"/>
      <c r="C12" s="28"/>
      <c r="D12" s="28" t="s">
        <v>111</v>
      </c>
      <c r="E12" s="28" t="s">
        <v>111</v>
      </c>
    </row>
    <row r="13" spans="1:5" ht="15" x14ac:dyDescent="0.3">
      <c r="A13" s="27" t="s">
        <v>103</v>
      </c>
      <c r="B13" s="28"/>
      <c r="C13" s="28"/>
      <c r="D13" s="28" t="s">
        <v>111</v>
      </c>
      <c r="E13" s="28" t="s">
        <v>111</v>
      </c>
    </row>
    <row r="14" spans="1:5" ht="15" x14ac:dyDescent="0.3">
      <c r="A14" s="27" t="s">
        <v>102</v>
      </c>
      <c r="B14" s="28"/>
      <c r="C14" s="28"/>
      <c r="D14" s="28"/>
      <c r="E14" s="28" t="s">
        <v>111</v>
      </c>
    </row>
    <row r="15" spans="1:5" ht="15" x14ac:dyDescent="0.3">
      <c r="A15" s="27" t="s">
        <v>113</v>
      </c>
      <c r="E15" s="28" t="s">
        <v>111</v>
      </c>
    </row>
    <row r="16" spans="1:5" ht="15" x14ac:dyDescent="0.3">
      <c r="A16" s="27" t="s">
        <v>114</v>
      </c>
      <c r="B16" s="28"/>
      <c r="C16" s="28"/>
      <c r="D16" s="28"/>
      <c r="E16" s="28" t="s">
        <v>111</v>
      </c>
    </row>
    <row r="17" spans="1:5" ht="15" x14ac:dyDescent="0.3">
      <c r="A17" s="27" t="s">
        <v>107</v>
      </c>
      <c r="B17" s="28"/>
      <c r="C17" s="28"/>
      <c r="D17" s="28"/>
      <c r="E17" s="28" t="s">
        <v>111</v>
      </c>
    </row>
    <row r="18" spans="1:5" ht="15" x14ac:dyDescent="0.3">
      <c r="A18" s="27" t="s">
        <v>112</v>
      </c>
      <c r="B18" s="28"/>
      <c r="C18" s="28"/>
      <c r="D18" s="28"/>
      <c r="E18" s="28" t="s">
        <v>111</v>
      </c>
    </row>
    <row r="19" spans="1:5" ht="15" x14ac:dyDescent="0.3">
      <c r="A19" s="27" t="s">
        <v>108</v>
      </c>
      <c r="B19" s="28"/>
      <c r="C19" s="28"/>
      <c r="D19" s="28"/>
      <c r="E19" s="28" t="s">
        <v>111</v>
      </c>
    </row>
    <row r="20" spans="1:5" ht="15" x14ac:dyDescent="0.3">
      <c r="A20" s="27" t="s">
        <v>109</v>
      </c>
      <c r="B20" s="28"/>
      <c r="C20" s="28"/>
      <c r="D20" s="28"/>
      <c r="E20" s="28"/>
    </row>
    <row r="21" spans="1:5" x14ac:dyDescent="0.3">
      <c r="B21" s="24">
        <f>+COUNTA(B3:B20)</f>
        <v>1</v>
      </c>
      <c r="C21" s="24">
        <f>+COUNTA(C3:C20)</f>
        <v>6</v>
      </c>
      <c r="D21" s="24">
        <f>+COUNTA(D3:D20)</f>
        <v>11</v>
      </c>
      <c r="E21" s="24">
        <f>+COUNTA(E3:E18)</f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E702-D0D4-4EF7-95E7-47F29ECE2453}">
  <dimension ref="A2:E25"/>
  <sheetViews>
    <sheetView tabSelected="1"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H8" sqref="H8"/>
    </sheetView>
  </sheetViews>
  <sheetFormatPr baseColWidth="10" defaultRowHeight="14.4" x14ac:dyDescent="0.3"/>
  <cols>
    <col min="1" max="1" width="25.6640625" customWidth="1"/>
    <col min="2" max="5" width="31.33203125" customWidth="1"/>
  </cols>
  <sheetData>
    <row r="2" spans="1:5" ht="30.6" thickBot="1" x14ac:dyDescent="0.35">
      <c r="A2" s="23" t="s">
        <v>48</v>
      </c>
      <c r="B2" s="3"/>
      <c r="C2" s="3"/>
      <c r="D2" s="3"/>
      <c r="E2" s="3"/>
    </row>
    <row r="3" spans="1:5" ht="17.399999999999999" thickBot="1" x14ac:dyDescent="0.35">
      <c r="A3" s="20" t="s">
        <v>43</v>
      </c>
      <c r="B3" s="21" t="s">
        <v>31</v>
      </c>
      <c r="C3" s="21" t="s">
        <v>32</v>
      </c>
      <c r="D3" s="21" t="s">
        <v>33</v>
      </c>
      <c r="E3" s="22" t="s">
        <v>34</v>
      </c>
    </row>
    <row r="4" spans="1:5" ht="33.6" x14ac:dyDescent="0.3">
      <c r="A4" s="10" t="s">
        <v>49</v>
      </c>
      <c r="B4" s="11" t="s">
        <v>42</v>
      </c>
      <c r="C4" s="11" t="s">
        <v>35</v>
      </c>
      <c r="D4" s="11" t="s">
        <v>36</v>
      </c>
      <c r="E4" s="12" t="s">
        <v>37</v>
      </c>
    </row>
    <row r="5" spans="1:5" ht="16.8" x14ac:dyDescent="0.3">
      <c r="A5" s="33" t="s">
        <v>50</v>
      </c>
      <c r="B5" s="7" t="s">
        <v>130</v>
      </c>
      <c r="C5" s="7" t="s">
        <v>52</v>
      </c>
      <c r="D5" s="7" t="s">
        <v>53</v>
      </c>
      <c r="E5" s="14" t="s">
        <v>54</v>
      </c>
    </row>
    <row r="6" spans="1:5" ht="16.8" x14ac:dyDescent="0.3">
      <c r="A6" s="33"/>
      <c r="B6" s="8" t="s">
        <v>51</v>
      </c>
      <c r="C6" s="8" t="s">
        <v>51</v>
      </c>
      <c r="D6" s="8" t="s">
        <v>51</v>
      </c>
      <c r="E6" s="15" t="s">
        <v>51</v>
      </c>
    </row>
    <row r="7" spans="1:5" ht="16.8" x14ac:dyDescent="0.3">
      <c r="A7" s="33" t="s">
        <v>55</v>
      </c>
      <c r="B7" s="7" t="s">
        <v>131</v>
      </c>
      <c r="C7" s="7" t="s">
        <v>56</v>
      </c>
      <c r="D7" s="7" t="s">
        <v>58</v>
      </c>
      <c r="E7" s="14" t="s">
        <v>80</v>
      </c>
    </row>
    <row r="8" spans="1:5" ht="33.6" x14ac:dyDescent="0.3">
      <c r="A8" s="33"/>
      <c r="B8" s="8" t="s">
        <v>96</v>
      </c>
      <c r="C8" s="8" t="s">
        <v>57</v>
      </c>
      <c r="D8" s="8" t="s">
        <v>59</v>
      </c>
      <c r="E8" s="15" t="s">
        <v>60</v>
      </c>
    </row>
    <row r="9" spans="1:5" ht="16.8" x14ac:dyDescent="0.3">
      <c r="A9" s="13" t="s">
        <v>61</v>
      </c>
      <c r="B9" s="9" t="s">
        <v>62</v>
      </c>
      <c r="C9" s="9" t="s">
        <v>62</v>
      </c>
      <c r="D9" s="9" t="s">
        <v>62</v>
      </c>
      <c r="E9" s="16" t="s">
        <v>62</v>
      </c>
    </row>
    <row r="10" spans="1:5" ht="16.8" x14ac:dyDescent="0.3">
      <c r="A10" s="13" t="s">
        <v>38</v>
      </c>
      <c r="B10" s="7" t="s">
        <v>75</v>
      </c>
      <c r="C10" s="9" t="s">
        <v>39</v>
      </c>
      <c r="D10" s="9" t="s">
        <v>40</v>
      </c>
      <c r="E10" s="16" t="s">
        <v>41</v>
      </c>
    </row>
    <row r="11" spans="1:5" ht="16.8" x14ac:dyDescent="0.3">
      <c r="A11" s="33" t="s">
        <v>63</v>
      </c>
      <c r="B11" s="9" t="s">
        <v>81</v>
      </c>
      <c r="C11" s="9" t="s">
        <v>82</v>
      </c>
      <c r="D11" s="9" t="s">
        <v>83</v>
      </c>
      <c r="E11" s="16" t="s">
        <v>84</v>
      </c>
    </row>
    <row r="12" spans="1:5" ht="33.6" x14ac:dyDescent="0.3">
      <c r="A12" s="33"/>
      <c r="B12" s="9" t="s">
        <v>85</v>
      </c>
      <c r="C12" s="9" t="s">
        <v>86</v>
      </c>
      <c r="D12" s="9" t="s">
        <v>87</v>
      </c>
      <c r="E12" s="16" t="s">
        <v>88</v>
      </c>
    </row>
    <row r="13" spans="1:5" ht="16.8" x14ac:dyDescent="0.3">
      <c r="A13" s="33"/>
      <c r="B13" s="9"/>
      <c r="C13" s="9" t="s">
        <v>89</v>
      </c>
      <c r="D13" s="9" t="s">
        <v>90</v>
      </c>
      <c r="E13" s="16" t="s">
        <v>91</v>
      </c>
    </row>
    <row r="14" spans="1:5" ht="16.8" x14ac:dyDescent="0.3">
      <c r="A14" s="33"/>
      <c r="B14" s="9"/>
      <c r="C14" s="9" t="s">
        <v>92</v>
      </c>
      <c r="D14" s="9" t="s">
        <v>93</v>
      </c>
      <c r="E14" s="16" t="s">
        <v>94</v>
      </c>
    </row>
    <row r="15" spans="1:5" ht="16.8" x14ac:dyDescent="0.3">
      <c r="A15" s="33"/>
      <c r="B15" s="9"/>
      <c r="C15" s="9"/>
      <c r="D15" s="9"/>
      <c r="E15" s="16" t="s">
        <v>95</v>
      </c>
    </row>
    <row r="16" spans="1:5" ht="50.4" x14ac:dyDescent="0.3">
      <c r="A16" s="13" t="s">
        <v>44</v>
      </c>
      <c r="B16" s="9" t="s">
        <v>64</v>
      </c>
      <c r="C16" s="9" t="s">
        <v>65</v>
      </c>
      <c r="D16" s="9" t="s">
        <v>66</v>
      </c>
      <c r="E16" s="16" t="s">
        <v>67</v>
      </c>
    </row>
    <row r="17" spans="1:5" ht="33.6" x14ac:dyDescent="0.3">
      <c r="A17" s="13" t="s">
        <v>45</v>
      </c>
      <c r="B17" s="7" t="s">
        <v>68</v>
      </c>
      <c r="C17" s="9" t="s">
        <v>76</v>
      </c>
      <c r="D17" s="9" t="s">
        <v>76</v>
      </c>
      <c r="E17" s="16" t="s">
        <v>76</v>
      </c>
    </row>
    <row r="18" spans="1:5" ht="33.6" x14ac:dyDescent="0.3">
      <c r="A18" s="13" t="s">
        <v>46</v>
      </c>
      <c r="B18" s="9" t="s">
        <v>77</v>
      </c>
      <c r="C18" s="9" t="s">
        <v>77</v>
      </c>
      <c r="D18" s="9" t="s">
        <v>77</v>
      </c>
      <c r="E18" s="16" t="s">
        <v>77</v>
      </c>
    </row>
    <row r="19" spans="1:5" ht="51" thickBot="1" x14ac:dyDescent="0.35">
      <c r="A19" s="17" t="s">
        <v>47</v>
      </c>
      <c r="B19" s="18" t="s">
        <v>69</v>
      </c>
      <c r="C19" s="18" t="s">
        <v>70</v>
      </c>
      <c r="D19" s="18" t="s">
        <v>71</v>
      </c>
      <c r="E19" s="19" t="s">
        <v>72</v>
      </c>
    </row>
    <row r="20" spans="1:5" x14ac:dyDescent="0.3">
      <c r="A20" s="3"/>
      <c r="B20" s="3"/>
      <c r="C20" s="3"/>
      <c r="D20" s="3"/>
      <c r="E20" s="3"/>
    </row>
    <row r="21" spans="1:5" x14ac:dyDescent="0.3">
      <c r="A21" s="3"/>
      <c r="B21" s="3"/>
      <c r="C21" s="3"/>
      <c r="D21" s="3"/>
      <c r="E21" s="3"/>
    </row>
    <row r="22" spans="1:5" ht="15" x14ac:dyDescent="0.3">
      <c r="A22" s="4" t="s">
        <v>73</v>
      </c>
      <c r="B22" s="3"/>
      <c r="C22" s="3"/>
      <c r="D22" s="3"/>
      <c r="E22" s="3"/>
    </row>
    <row r="23" spans="1:5" x14ac:dyDescent="0.3">
      <c r="A23" s="5" t="s">
        <v>78</v>
      </c>
      <c r="B23" s="3"/>
      <c r="C23" s="3"/>
      <c r="D23" s="3"/>
      <c r="E23" s="3"/>
    </row>
    <row r="24" spans="1:5" x14ac:dyDescent="0.3">
      <c r="A24" s="5" t="s">
        <v>79</v>
      </c>
      <c r="B24" s="3"/>
      <c r="C24" s="3"/>
      <c r="D24" s="3"/>
      <c r="E24" s="3"/>
    </row>
    <row r="25" spans="1:5" x14ac:dyDescent="0.3">
      <c r="A25" s="6" t="s">
        <v>74</v>
      </c>
      <c r="B25" s="3"/>
      <c r="C25" s="3"/>
      <c r="D25" s="3"/>
      <c r="E25" s="3"/>
    </row>
  </sheetData>
  <mergeCells count="3">
    <mergeCell ref="A5:A6"/>
    <mergeCell ref="A7:A8"/>
    <mergeCell ref="A11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 Evolutiva Operativa</vt:lpstr>
      <vt:lpstr>Modulos</vt:lpstr>
      <vt:lpstr>Paquetes y Licencias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Emilio Belismelis</cp:lastModifiedBy>
  <dcterms:created xsi:type="dcterms:W3CDTF">2026-09-19T19:45:38Z</dcterms:created>
  <dcterms:modified xsi:type="dcterms:W3CDTF">2026-09-20T19:32:57Z</dcterms:modified>
</cp:coreProperties>
</file>