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mili\OneDrive\Desktop\Developer\Diagnóstico de preguntas revela fugas operativas\"/>
    </mc:Choice>
  </mc:AlternateContent>
  <xr:revisionPtr revIDLastSave="0" documentId="8_{DB0CE9D5-2905-4FC4-8D35-CF8B28702AAA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Matriz Evolutiva Operativa" sheetId="1" r:id="rId1"/>
    <sheet name="Modulos" sheetId="6" r:id="rId2"/>
    <sheet name="Paquetes y Licencias" sheetId="5" r:id="rId3"/>
    <sheet name="Hoja6" sheetId="7" r:id="rId4"/>
    <sheet name="Hoja7" sheetId="8" r:id="rId5"/>
    <sheet name="Brilo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6" l="1"/>
  <c r="C21" i="6"/>
  <c r="D21" i="6"/>
  <c r="B21" i="6"/>
  <c r="H8" i="5"/>
  <c r="H7" i="5"/>
  <c r="H9" i="5"/>
  <c r="H5" i="5"/>
  <c r="I9" i="5" l="1"/>
  <c r="J9" i="5" s="1"/>
  <c r="K9" i="5" s="1"/>
  <c r="I8" i="5"/>
  <c r="J8" i="5" s="1"/>
  <c r="K8" i="5" s="1"/>
  <c r="I7" i="5"/>
  <c r="J7" i="5" s="1"/>
  <c r="K7" i="5" s="1"/>
</calcChain>
</file>

<file path=xl/sharedStrings.xml><?xml version="1.0" encoding="utf-8"?>
<sst xmlns="http://schemas.openxmlformats.org/spreadsheetml/2006/main" count="519" uniqueCount="365">
  <si>
    <t>MATRIZ DE EVOLUCIÓN OPERATIVA</t>
  </si>
  <si>
    <t>ETAPA / CULTURA</t>
  </si>
  <si>
    <t>TALENTO HUMANO</t>
  </si>
  <si>
    <t>PROCESOS</t>
  </si>
  <si>
    <t>DATOS</t>
  </si>
  <si>
    <t>Infancia (Inestable)</t>
  </si>
  <si>
    <t>Sin ERP / Excel básico</t>
  </si>
  <si>
    <t>Enfoque administrativo/compras</t>
  </si>
  <si>
    <t>Sin procesos formales</t>
  </si>
  <si>
    <t>Registros manuales</t>
  </si>
  <si>
    <t>Juventud (Estable/Eficiente)</t>
  </si>
  <si>
    <t>ERP con módulos básicos</t>
  </si>
  <si>
    <t>Enfoque agresivo en ventas</t>
  </si>
  <si>
    <t>Prácticas iniciales de mejora</t>
  </si>
  <si>
    <t>KPIs básicos de ventas</t>
  </si>
  <si>
    <t>Madurez (Proactiva)</t>
  </si>
  <si>
    <t>Integración BPM, CRM, BI</t>
  </si>
  <si>
    <t>Gestión por conocimiento y resultados</t>
  </si>
  <si>
    <t>Lean y Six Sigma integrales</t>
  </si>
  <si>
    <t>KPIs de eficiencia operacional</t>
  </si>
  <si>
    <t>Plenitud (Futurista)</t>
  </si>
  <si>
    <t>IA, Big Data, Blockchain</t>
  </si>
  <si>
    <t>Análisis predictivo de procesos</t>
  </si>
  <si>
    <t>Mejores prácticas globales</t>
  </si>
  <si>
    <t>KPIs internos, externos y de proveedores</t>
  </si>
  <si>
    <t>APLICACIONES TECNOLOGICAS  RECOMENDADAS</t>
  </si>
  <si>
    <t>PLAN RECOMENDADO</t>
  </si>
  <si>
    <t>1. NyTEX Auto-Guiado</t>
  </si>
  <si>
    <t>2. NyTEX Express</t>
  </si>
  <si>
    <t>3. NyTEX Advanced</t>
  </si>
  <si>
    <t>4. NyTEX Enterprise</t>
  </si>
  <si>
    <t>NyTEX Auto-Guiado (Self-Service)</t>
  </si>
  <si>
    <t>NyTEX Express</t>
  </si>
  <si>
    <t>NyTEX Advanced</t>
  </si>
  <si>
    <t>NyTEX Enterprise</t>
  </si>
  <si>
    <t>$1,500 USD</t>
  </si>
  <si>
    <t>$4,500 USD</t>
  </si>
  <si>
    <t>Cotización a Medida</t>
  </si>
  <si>
    <t>Tiempo de Salida (Go-Live)</t>
  </si>
  <si>
    <t>2 a 3 semanas</t>
  </si>
  <si>
    <t>1 a 2 meses</t>
  </si>
  <si>
    <t>3+ meses</t>
  </si>
  <si>
    <t>$0 USD (¡Gratis!)</t>
  </si>
  <si>
    <t>Característica / Paquete</t>
  </si>
  <si>
    <t>¿Cómo funciona la ejecución?</t>
  </si>
  <si>
    <t>Facturación de la Implementación</t>
  </si>
  <si>
    <t>Facturación de Licencias</t>
  </si>
  <si>
    <t>Soporte Incluido</t>
  </si>
  <si>
    <t>Tabla Maestra Actualizada (Tarifa Plana por Módulos)</t>
  </si>
  <si>
    <t>Precio Fijo de Implementación</t>
  </si>
  <si>
    <t>PRECIO LICENCIA (TARIFA PLANA)</t>
  </si>
  <si>
    <t>(Fijo para toda la empresa)</t>
  </si>
  <si>
    <t>$149 USD / mes</t>
  </si>
  <si>
    <t>$299 USD / mes</t>
  </si>
  <si>
    <t>$499 USD / mes</t>
  </si>
  <si>
    <t>Acceso a Módulos (Software)</t>
  </si>
  <si>
    <t>(Se suma Compras, Contabilidad, etc.)</t>
  </si>
  <si>
    <t>(Se suma Producción, Nómina, RRHH, etc.)</t>
  </si>
  <si>
    <t>(Full Suite + Configuración Avanzada)</t>
  </si>
  <si>
    <t>Usuarios Incluidos</t>
  </si>
  <si>
    <t>Ilimitados</t>
  </si>
  <si>
    <t>¿Qué incluye el Partner? (Implementación)</t>
  </si>
  <si>
    <t>Usas nuestro Asistente de Configuración (Wizard) en la web y academia en video.</t>
  </si>
  <si>
    <t>Un Partner lidera la configuración basándose en mejores prácticas estándar para salir rápido.</t>
  </si>
  <si>
    <t>Un Partner hace ingeniería de procesos y personaliza el sistema para cada departamento.</t>
  </si>
  <si>
    <t>Un equipo de consultores actúa como tu departamento de TI, ejecutando el proyecto por fases.</t>
  </si>
  <si>
    <t>No aplica</t>
  </si>
  <si>
    <t>Soporte vía Tickets / Email directamente con NyTEX</t>
  </si>
  <si>
    <t>Soporte humano con tu Partner asignado</t>
  </si>
  <si>
    <t>Soporte VIP con tu Partner asignado</t>
  </si>
  <si>
    <t>Soporte Dedicado del Partner + Soporte Nivel 2 Prioritario de NyTEX</t>
  </si>
  <si>
    <t>¿Por qué esta estructura es un arma letal en el mercado?</t>
  </si>
  <si>
    <t>Ambos ganan más dinero conforme la empresa del cliente crece y se vuelve más compleja. ¿Te cuadran mejor estos montos de Tarifa Plana ($49, $149, $299, $499) para tus expectativas de ingresos?</t>
  </si>
  <si>
    <r>
      <t>Inmediato</t>
    </r>
    <r>
      <rPr>
        <sz val="11"/>
        <rFont val="Segoe UI"/>
        <family val="2"/>
      </rPr>
      <t> (A tu propio ritmo)</t>
    </r>
  </si>
  <si>
    <r>
      <t>Facturado directamente por el </t>
    </r>
    <r>
      <rPr>
        <sz val="11"/>
        <rFont val="Segoe UI"/>
        <family val="2"/>
      </rPr>
      <t>Partner</t>
    </r>
  </si>
  <si>
    <r>
      <t>Facturado automáticamente por </t>
    </r>
    <r>
      <rPr>
        <sz val="11"/>
        <rFont val="Segoe UI"/>
        <family val="2"/>
      </rPr>
      <t>NyTEX</t>
    </r>
  </si>
  <si>
    <r>
      <t>1. Destroza a la competencia:</t>
    </r>
    <r>
      <rPr>
        <sz val="8"/>
        <rFont val="Segoe UI"/>
        <family val="2"/>
      </rPr>
      <t> Tus competidores (SAP, Odoo, Oracle) castigan al cliente por contratar más gente (cobrando por usuario). Tú le dices al cliente: </t>
    </r>
    <r>
      <rPr>
        <i/>
        <sz val="8"/>
        <rFont val="Segoe UI"/>
        <family val="2"/>
      </rPr>
      <t>"Contrata a todos los empleados que quieras, dales acceso al sistema; solo págame por el tamaño de tu operación (los módulos)"</t>
    </r>
    <r>
      <rPr>
        <sz val="8"/>
        <rFont val="Segoe UI"/>
        <family val="2"/>
      </rPr>
      <t>.</t>
    </r>
  </si>
  <si>
    <r>
      <t>2. Upselling natural para ti y el Partner:</t>
    </r>
    <r>
      <rPr>
        <sz val="8"/>
        <rFont val="Segoe UI"/>
        <family val="2"/>
      </rPr>
      <t> Cuando la empresa pequeña (Plan de $49) empieza a crecer y de pronto necesita automatizar su </t>
    </r>
    <r>
      <rPr>
        <i/>
        <sz val="8"/>
        <rFont val="Segoe UI"/>
        <family val="2"/>
      </rPr>
      <t>Nómina</t>
    </r>
    <r>
      <rPr>
        <sz val="8"/>
        <rFont val="Segoe UI"/>
        <family val="2"/>
      </rPr>
      <t> o </t>
    </r>
    <r>
      <rPr>
        <i/>
        <sz val="8"/>
        <rFont val="Segoe UI"/>
        <family val="2"/>
      </rPr>
      <t>Producción</t>
    </r>
    <r>
      <rPr>
        <sz val="8"/>
        <rFont val="Segoe UI"/>
        <family val="2"/>
      </rPr>
      <t>, forzosamente tendrán que subir de nivel de licencia (a $149 o $299). Y al hacerlo, </t>
    </r>
    <r>
      <rPr>
        <sz val="8"/>
        <rFont val="Segoe UI"/>
        <family val="2"/>
      </rPr>
      <t>necesitarán contratar a tu Partner</t>
    </r>
    <r>
      <rPr>
        <sz val="8"/>
        <rFont val="Segoe UI"/>
        <family val="2"/>
      </rPr>
      <t> para que les implemente esos nuevos módulos.</t>
    </r>
  </si>
  <si>
    <t>Todos los Módulos</t>
  </si>
  <si>
    <t>Hasta 2 Módulos</t>
  </si>
  <si>
    <t>modulos</t>
  </si>
  <si>
    <t>Costo real por modulo</t>
  </si>
  <si>
    <t>Costo sugerido por modulo</t>
  </si>
  <si>
    <t xml:space="preserve"> Cero intervención humana.</t>
  </si>
  <si>
    <t xml:space="preserve"> Levantamiento rápido</t>
  </si>
  <si>
    <t xml:space="preserve"> GAP Analysis profundo</t>
  </si>
  <si>
    <t xml:space="preserve"> Arquitectura a medida</t>
  </si>
  <si>
    <t xml:space="preserve"> Proveen link de acceso.</t>
  </si>
  <si>
    <t xml:space="preserve"> Configuración de 3 a 6 módulos</t>
  </si>
  <si>
    <t xml:space="preserve"> Configuración de hasta 10 módulos</t>
  </si>
  <si>
    <t xml:space="preserve"> Integraciones con APIs</t>
  </si>
  <si>
    <t xml:space="preserve"> Migración básica (Excel)</t>
  </si>
  <si>
    <t xml:space="preserve"> Automatización de procesos</t>
  </si>
  <si>
    <t xml:space="preserve"> Desarrollo de BI</t>
  </si>
  <si>
    <t xml:space="preserve"> Capacitación grupal online</t>
  </si>
  <si>
    <t xml:space="preserve"> Capacitación por áreas</t>
  </si>
  <si>
    <t xml:space="preserve"> Migración de DBs complejas</t>
  </si>
  <si>
    <t xml:space="preserve"> Pruebas UAT exhaustivas</t>
  </si>
  <si>
    <t>De 7 Hasta 10 Módulos</t>
  </si>
  <si>
    <t>De 2 Hasta 6 Módulos</t>
  </si>
  <si>
    <t>(Ventas, Inventario)</t>
  </si>
  <si>
    <t>NyTEX Ventas</t>
  </si>
  <si>
    <t>NyTEX CRM</t>
  </si>
  <si>
    <t>NyTEX Inventario</t>
  </si>
  <si>
    <t>NyTEX Compras</t>
  </si>
  <si>
    <t>NyTEX Contabilidad</t>
  </si>
  <si>
    <t>NyTEX Tesorería</t>
  </si>
  <si>
    <t>NyTEX Activos Fijos</t>
  </si>
  <si>
    <t>NyTEX Logística</t>
  </si>
  <si>
    <t>NyTEX RRHH</t>
  </si>
  <si>
    <t>NyTEX Nómina</t>
  </si>
  <si>
    <t>NyTEX Process Suite</t>
  </si>
  <si>
    <t>NyTEX Business Partners</t>
  </si>
  <si>
    <t>NyTEX Configuración</t>
  </si>
  <si>
    <t>MÓDULOS / PAQUETES</t>
  </si>
  <si>
    <t>X</t>
  </si>
  <si>
    <t>NyTEX Mineria de Datos</t>
  </si>
  <si>
    <t>KPIs, dashboards, análisis</t>
  </si>
  <si>
    <t>Microsoft Power BI, Tableau, Qlik</t>
  </si>
  <si>
    <t>Nómina, personal, desempeño</t>
  </si>
  <si>
    <t>Workday, SAP SuccessFactors</t>
  </si>
  <si>
    <t>Tickets, reclamos, soporte</t>
  </si>
  <si>
    <t>Zendesk, Freshdesk</t>
  </si>
  <si>
    <t>Para qué sirve</t>
  </si>
  <si>
    <t>NyTEX Servicio al cliente</t>
  </si>
  <si>
    <t>#</t>
  </si>
  <si>
    <t>Categoría</t>
  </si>
  <si>
    <t>Aplicación</t>
  </si>
  <si>
    <t>Principal fortaleza</t>
  </si>
  <si>
    <t>Funcionalidad que tomaría para Antigravity</t>
  </si>
  <si>
    <t>Prioridad</t>
  </si>
  <si>
    <t>ERP</t>
  </si>
  <si>
    <t>SAP S/4HANA</t>
  </si>
  <si>
    <t>ERP corporativo</t>
  </si>
  <si>
    <t>Finanzas, compras, inventarios, centros de costo, autorizaciones</t>
  </si>
  <si>
    <t>🔴</t>
  </si>
  <si>
    <t>Odoo</t>
  </si>
  <si>
    <t>ERP modular</t>
  </si>
  <si>
    <t>Arquitectura modular, compras, ventas, inventarios, POS</t>
  </si>
  <si>
    <t>Microsoft Dynamics 365</t>
  </si>
  <si>
    <t>ERP + CRM</t>
  </si>
  <si>
    <t>Integración de áreas, workflows, roles, dashboards</t>
  </si>
  <si>
    <t>Oracle NetSuite</t>
  </si>
  <si>
    <t>ERP Cloud</t>
  </si>
  <si>
    <t>Finanzas multiempresa, compras, inventarios, consolidación</t>
  </si>
  <si>
    <t>Oracle Fusion Cloud ERP</t>
  </si>
  <si>
    <t>Presupuesto, compras, aprobaciones y finanzas</t>
  </si>
  <si>
    <t>🟠</t>
  </si>
  <si>
    <t>Infor CloudSuite</t>
  </si>
  <si>
    <t>Retail/distribución</t>
  </si>
  <si>
    <t>Supply chain, inventarios y operaciones</t>
  </si>
  <si>
    <t>CRM</t>
  </si>
  <si>
    <t>Salesforce</t>
  </si>
  <si>
    <t>CRM empresarial</t>
  </si>
  <si>
    <t>Leads, oportunidades, actividades, pipeline, automatizaciones</t>
  </si>
  <si>
    <t>HubSpot CRM</t>
  </si>
  <si>
    <t>Marketing + CRM</t>
  </si>
  <si>
    <t>Embudos, formularios, automatización y seguimiento</t>
  </si>
  <si>
    <t>Dynamics 365 Sales</t>
  </si>
  <si>
    <t>CRM integrado</t>
  </si>
  <si>
    <t>Cliente 360°, oportunidades, tareas y pronósticos</t>
  </si>
  <si>
    <t>Zoho CRM</t>
  </si>
  <si>
    <t>CRM configurable</t>
  </si>
  <si>
    <t>Campos personalizados, workflows y automatizaciones</t>
  </si>
  <si>
    <t>Pipedrive</t>
  </si>
  <si>
    <t>Pipeline visual</t>
  </si>
  <si>
    <t>Embudo visual de oportunidades y seguimiento</t>
  </si>
  <si>
    <t>BPM</t>
  </si>
  <si>
    <t>Microsoft Power Automate</t>
  </si>
  <si>
    <t>Automatización</t>
  </si>
  <si>
    <t>Disparadores, condiciones, aprobaciones y notificaciones</t>
  </si>
  <si>
    <t>Bizagi</t>
  </si>
  <si>
    <t>BPMN</t>
  </si>
  <si>
    <t>Modelado BPMN, responsables, tiempos y ejecución</t>
  </si>
  <si>
    <t>Appian</t>
  </si>
  <si>
    <t>Low-code BPM</t>
  </si>
  <si>
    <t>Formularios, reglas, workflows y casos</t>
  </si>
  <si>
    <t>Nintex</t>
  </si>
  <si>
    <t>Workflow</t>
  </si>
  <si>
    <t>Formularios y circuitos de aprobación</t>
  </si>
  <si>
    <t>BI</t>
  </si>
  <si>
    <t>Microsoft Power BI</t>
  </si>
  <si>
    <t>Dashboards</t>
  </si>
  <si>
    <t>KPI, drill-down, filtros, Pareto y semáforos</t>
  </si>
  <si>
    <t>Tableau</t>
  </si>
  <si>
    <t>Visualización</t>
  </si>
  <si>
    <t>Exploración interactiva y dashboards ejecutivos</t>
  </si>
  <si>
    <t>Google Looker</t>
  </si>
  <si>
    <t>BI semántico</t>
  </si>
  <si>
    <t>Modelos de datos y métricas centralizadas</t>
  </si>
  <si>
    <t>Qlik Sense</t>
  </si>
  <si>
    <t>Analytics</t>
  </si>
  <si>
    <t>Análisis asociativo y descubrimiento de relaciones</t>
  </si>
  <si>
    <t>IA</t>
  </si>
  <si>
    <t>ChatGPT Enterprise</t>
  </si>
  <si>
    <t>IA generativa</t>
  </si>
  <si>
    <t>Asistente ejecutivo, análisis y generación documental</t>
  </si>
  <si>
    <t>Microsoft Copilot</t>
  </si>
  <si>
    <t>IA empresarial</t>
  </si>
  <si>
    <t>IA contextual integrada al trabajo</t>
  </si>
  <si>
    <t>Google Gemini</t>
  </si>
  <si>
    <t>IA multimodal</t>
  </si>
  <si>
    <t>Documentos, análisis, imágenes y asistentes</t>
  </si>
  <si>
    <t>Claude Enterprise</t>
  </si>
  <si>
    <t>Análisis documental</t>
  </si>
  <si>
    <t>Lectura de documentos extensos y razonamiento</t>
  </si>
  <si>
    <t>IBM watsonx</t>
  </si>
  <si>
    <t>IA corporativa</t>
  </si>
  <si>
    <t>Agentes, gobernanza y modelos empresariales</t>
  </si>
  <si>
    <t>RRHH</t>
  </si>
  <si>
    <t>Workday HCM</t>
  </si>
  <si>
    <t>Capital humano</t>
  </si>
  <si>
    <t>Expediente, estructura, desempeño y analítica</t>
  </si>
  <si>
    <t>SAP SuccessFactors</t>
  </si>
  <si>
    <t>RRHH empresarial</t>
  </si>
  <si>
    <t>Competencias, evaluación, capacitación y desempeño</t>
  </si>
  <si>
    <t>BambooHR</t>
  </si>
  <si>
    <t>RRHH simple</t>
  </si>
  <si>
    <t>Expediente electrónico, vacaciones y evaluaciones</t>
  </si>
  <si>
    <t>ADP Workforce Now</t>
  </si>
  <si>
    <t>Nómina/RRHH</t>
  </si>
  <si>
    <t>Nómina, asistencia y administración laboral</t>
  </si>
  <si>
    <t>Logística</t>
  </si>
  <si>
    <t>Oracle SCM Cloud</t>
  </si>
  <si>
    <t>Supply Chain</t>
  </si>
  <si>
    <t>Compras, planificación, abastecimiento y proveedores</t>
  </si>
  <si>
    <t>SAP IBP / SCM</t>
  </si>
  <si>
    <t>Planificación</t>
  </si>
  <si>
    <t>Demanda, suministro, inventario y S&amp;OP</t>
  </si>
  <si>
    <t>Blue Yonder</t>
  </si>
  <si>
    <t>Forecasting</t>
  </si>
  <si>
    <t>Pronóstico, reposición y optimización de inventarios</t>
  </si>
  <si>
    <t>Manhattan Active</t>
  </si>
  <si>
    <t>WMS/retail</t>
  </si>
  <si>
    <t>CEDIS, picking, despacho y omnicanalidad</t>
  </si>
  <si>
    <t>Inventarios</t>
  </si>
  <si>
    <t>Cin7</t>
  </si>
  <si>
    <t>Inventario</t>
  </si>
  <si>
    <t>Stock multibodega, órdenes y reposición</t>
  </si>
  <si>
    <t>Fishbowl</t>
  </si>
  <si>
    <t>Inventarios/WMS</t>
  </si>
  <si>
    <t>Recepción, ubicación, picking y trazabilidad</t>
  </si>
  <si>
    <t>Zoho Inventory</t>
  </si>
  <si>
    <t>Inventario cloud</t>
  </si>
  <si>
    <t>Transferencias, pedidos y existencias</t>
  </si>
  <si>
    <t>Katana</t>
  </si>
  <si>
    <t>Control de stock</t>
  </si>
  <si>
    <t>Disponibilidad, demanda y planificación</t>
  </si>
  <si>
    <t>Finanzas</t>
  </si>
  <si>
    <t>QuickBooks Online</t>
  </si>
  <si>
    <t>Contabilidad</t>
  </si>
  <si>
    <t>Catálogo contable, CxC, CxP y conciliaciones</t>
  </si>
  <si>
    <t>Xero</t>
  </si>
  <si>
    <t>Contabilidad cloud</t>
  </si>
  <si>
    <t>Bancos, conciliaciones, facturación y flujo</t>
  </si>
  <si>
    <t>Sage Intacct</t>
  </si>
  <si>
    <t>Finanzas corporativas</t>
  </si>
  <si>
    <t>Centros de costo, consolidación y reportes</t>
  </si>
  <si>
    <t>Oracle EPM</t>
  </si>
  <si>
    <t>Planeación financiera</t>
  </si>
  <si>
    <t>Presupuestos, escenarios, forecast y consolidación</t>
  </si>
  <si>
    <t>Marketing</t>
  </si>
  <si>
    <t>Mailchimp</t>
  </si>
  <si>
    <t>Email marketing</t>
  </si>
  <si>
    <t>Campañas, segmentación y automatización</t>
  </si>
  <si>
    <t>HubSpot Marketing Hub</t>
  </si>
  <si>
    <t>Inbound marketing</t>
  </si>
  <si>
    <t>Leads, journeys, scoring y campañas</t>
  </si>
  <si>
    <t>Salesforce Marketing Cloud</t>
  </si>
  <si>
    <t>Marketing enterprise</t>
  </si>
  <si>
    <t>Segmentación y automatización multicanal</t>
  </si>
  <si>
    <t>Klaviyo</t>
  </si>
  <si>
    <t>Retail/e-commerce</t>
  </si>
  <si>
    <t>Segmentación por compra y comportamiento</t>
  </si>
  <si>
    <t>ActiveCampaign</t>
  </si>
  <si>
    <t>Reglas y secuencias de comunicación</t>
  </si>
  <si>
    <t>Proyectos</t>
  </si>
  <si>
    <t>Jira</t>
  </si>
  <si>
    <t>Seguimiento</t>
  </si>
  <si>
    <t>Backlog, incidencias, estados y responsables</t>
  </si>
  <si>
    <t>Monday.com</t>
  </si>
  <si>
    <t>Gestión visual</t>
  </si>
  <si>
    <t>Tableros, responsables, fechas y automatizaciones</t>
  </si>
  <si>
    <t>Smartsheet</t>
  </si>
  <si>
    <t>Gestión tabular</t>
  </si>
  <si>
    <t>Cronogramas, dependencias y dashboards</t>
  </si>
  <si>
    <t>Trello</t>
  </si>
  <si>
    <t>Kanban</t>
  </si>
  <si>
    <t>Tableros Kanban y flujo de actividades</t>
  </si>
  <si>
    <t>Asana</t>
  </si>
  <si>
    <t>Gestión de proyectos</t>
  </si>
  <si>
    <t>Objetivos, proyectos, tareas y dependencias</t>
  </si>
  <si>
    <t>Módulo Antigravity</t>
  </si>
  <si>
    <t>Inspiración funcional</t>
  </si>
  <si>
    <t>Qué debería contener</t>
  </si>
  <si>
    <t>01. ERP Core</t>
  </si>
  <si>
    <t>SAP + Odoo + Dynamics</t>
  </si>
  <si>
    <t>Empresas, sucursales, usuarios, productos, clientes, proveedores</t>
  </si>
  <si>
    <t>02. Compras</t>
  </si>
  <si>
    <t>SAP + Oracle SCM</t>
  </si>
  <si>
    <t>Solicitud → cotización → comparación → aprobación → OC</t>
  </si>
  <si>
    <t>03. Abastecimiento</t>
  </si>
  <si>
    <t>Blue Yonder + SAP IBP</t>
  </si>
  <si>
    <t>Forecast, ROP, stock seguridad, MOQ, sugerencia automática de compra</t>
  </si>
  <si>
    <t>04. CEDIS / WMS</t>
  </si>
  <si>
    <t>Manhattan + Fishbowl</t>
  </si>
  <si>
    <t>Recepción, ubicación, picking, despacho, trazabilidad</t>
  </si>
  <si>
    <t>05. Inventarios</t>
  </si>
  <si>
    <t>Odoo + Zoho Inventory</t>
  </si>
  <si>
    <t>Kardex, transferencias, conteos, ajustes, mermas</t>
  </si>
  <si>
    <t>06. Ventas / POS</t>
  </si>
  <si>
    <t>Odoo + Dynamics</t>
  </si>
  <si>
    <t>Ventas, devoluciones, promociones, precios</t>
  </si>
  <si>
    <t>07. CRM</t>
  </si>
  <si>
    <t>Salesforce + HubSpot + Pipedrive</t>
  </si>
  <si>
    <t>Cliente 360°, pipeline, oportunidades, reclamos</t>
  </si>
  <si>
    <t>08. BPM</t>
  </si>
  <si>
    <t>Bizagi + Power Automate</t>
  </si>
  <si>
    <t>Procesos, formularios, aprobaciones, SLA</t>
  </si>
  <si>
    <t>09. Finanzas</t>
  </si>
  <si>
    <t>SAP + QuickBooks + Sage</t>
  </si>
  <si>
    <t>Contabilidad, tesorería, CxC, CxP, bancos</t>
  </si>
  <si>
    <t>10. RRHH</t>
  </si>
  <si>
    <t>Workday + BambooHR</t>
  </si>
  <si>
    <t>Personal, asistencia, capacitación, desempeño</t>
  </si>
  <si>
    <t>11. Proyectos / SIGET</t>
  </si>
  <si>
    <t>Monday + Jira + Asana</t>
  </si>
  <si>
    <t>Actividades, responsables, vencimientos, cumplimiento</t>
  </si>
  <si>
    <t>12. BI / KPI</t>
  </si>
  <si>
    <t>Power BI + Tableau</t>
  </si>
  <si>
    <t>Dashboards, semáforos, Pareto, ranking, drill-down</t>
  </si>
  <si>
    <t>13. Marketing</t>
  </si>
  <si>
    <t>HubSpot + Klaviyo</t>
  </si>
  <si>
    <t>Segmentación, campañas, fidelización</t>
  </si>
  <si>
    <t>14. Gestión documental ISO</t>
  </si>
  <si>
    <t>SharePoint/BPM</t>
  </si>
  <si>
    <t>SOP, políticas, procedimientos, versiones, aprobaciones</t>
  </si>
  <si>
    <t>15. IA Empresarial</t>
  </si>
  <si>
    <t>ChatGPT + Copilot + Gemini</t>
  </si>
  <si>
    <t>Agentes especializados y análisis predictivo</t>
  </si>
  <si>
    <t>NyTEX BI/KPI y Analytics</t>
  </si>
  <si>
    <t>Ventas</t>
  </si>
  <si>
    <t>Ver más</t>
  </si>
  <si>
    <t>Cuentas por cobrar</t>
  </si>
  <si>
    <t>Compras</t>
  </si>
  <si>
    <t>Cuentas por pagar</t>
  </si>
  <si>
    <t>Bancos</t>
  </si>
  <si>
    <t>Admin. del Sistema</t>
  </si>
  <si>
    <t>Brilo ERP rendimiento.</t>
  </si>
  <si>
    <t>NyTEX Cuentas por Cobrar</t>
  </si>
  <si>
    <t>NyTEX Cuentas por Pagar</t>
  </si>
  <si>
    <t>APLICACIONES TECNOLOGICAS QUE USAN</t>
  </si>
  <si>
    <t>Para microempresas, autónomos o negocios que apenas empiezan.</t>
  </si>
  <si>
    <t>📈 NyTEX Lite (o Starter)</t>
  </si>
  <si>
    <t>📈 NyTEX Standard</t>
  </si>
  <si>
    <t>Para pequeñas empresas que necesitan el control básico del día a día.</t>
  </si>
  <si>
    <t>📈 NyTEX Professional (o Pro)</t>
  </si>
  <si>
    <t>Para medianas empresas con procesos integrados y más usuarios.</t>
  </si>
  <si>
    <t>📈 NyTEX Enterprise</t>
  </si>
  <si>
    <t>Para corporativos, grandes empresas o negocios que requieren personalización</t>
  </si>
  <si>
    <t>ORIENTADO A QUE TIPO DE EMPRESA</t>
  </si>
  <si>
    <t>📈 NyTEX starter (Auto-Guiado)</t>
  </si>
  <si>
    <t>📈 NyTEX Express</t>
  </si>
  <si>
    <t>📈 NyTEX Advanced</t>
  </si>
  <si>
    <t>$35 USD / 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</si>
</sst>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25" x14ac:knownFonts="1">
    <font>
      <sz val="11"/>
      <color theme="1"/>
      <name val="Calibri"/>
      <family val="2"/>
      <scheme val="minor"/>
    </font>
    <font>
      <b/>
      <sz val="16"/>
      <color rgb="FF333333"/>
      <name val="Arial"/>
    </font>
    <font>
      <b/>
      <sz val="11"/>
      <color rgb="FFFFFFFF"/>
      <name val="Arial"/>
    </font>
    <font>
      <sz val="10"/>
      <name val="Arial"/>
    </font>
    <font>
      <sz val="11"/>
      <color theme="1"/>
      <name val="Calibri"/>
      <family val="2"/>
      <scheme val="minor"/>
    </font>
    <font>
      <b/>
      <sz val="12"/>
      <color theme="1"/>
      <name val="Aptos"/>
      <family val="2"/>
    </font>
    <font>
      <u/>
      <sz val="11"/>
      <color theme="10"/>
      <name val="Calibri"/>
      <family val="2"/>
      <scheme val="minor"/>
    </font>
    <font>
      <b/>
      <sz val="10"/>
      <name val="Segoe UI"/>
      <family val="2"/>
    </font>
    <font>
      <sz val="10"/>
      <name val="Segoe UI"/>
      <family val="2"/>
    </font>
    <font>
      <sz val="11"/>
      <name val="Calibri"/>
      <family val="2"/>
      <scheme val="minor"/>
    </font>
    <font>
      <sz val="11"/>
      <name val="Segoe UI"/>
      <family val="2"/>
    </font>
    <font>
      <sz val="11"/>
      <name val="Segoe UI"/>
      <family val="2"/>
    </font>
    <font>
      <i/>
      <sz val="11"/>
      <name val="Segoe UI"/>
      <family val="2"/>
    </font>
    <font>
      <sz val="11"/>
      <name val="Segoe UI"/>
      <family val="2"/>
    </font>
    <font>
      <sz val="8"/>
      <name val="Segoe UI"/>
      <family val="2"/>
    </font>
    <font>
      <sz val="8"/>
      <name val="Segoe UI"/>
      <family val="2"/>
    </font>
    <font>
      <i/>
      <sz val="8"/>
      <name val="Segoe UI"/>
      <family val="2"/>
    </font>
    <font>
      <sz val="10"/>
      <name val="Segoe UI"/>
      <family val="2"/>
    </font>
    <font>
      <b/>
      <sz val="12"/>
      <color theme="1"/>
      <name val="Segoe UI Emoji"/>
      <family val="2"/>
    </font>
    <font>
      <sz val="13.5"/>
      <color rgb="FF496B77"/>
      <name val="Roboto"/>
      <family val="2"/>
    </font>
    <font>
      <sz val="10"/>
      <color rgb="FF4169E1"/>
      <name val="Arial"/>
      <family val="2"/>
    </font>
    <font>
      <b/>
      <sz val="12"/>
      <color rgb="FF496B77"/>
      <name val="Arial"/>
      <family val="2"/>
    </font>
    <font>
      <sz val="10"/>
      <color rgb="FFEE980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64646"/>
        <bgColor rgb="FF464646"/>
      </patternFill>
    </fill>
    <fill>
      <patternFill patternType="solid">
        <fgColor rgb="FFF5F6F7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7">
    <xf numFmtId="0" fontId="0" fillId="0" borderId="0" xfId="0"/>
    <xf numFmtId="0" fontId="5" fillId="0" borderId="2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9" fillId="0" borderId="0" xfId="0" applyFont="1"/>
    <xf numFmtId="0" fontId="8" fillId="0" borderId="0" xfId="0" applyFont="1" applyAlignment="1">
      <alignment vertical="center"/>
    </xf>
    <xf numFmtId="0" fontId="14" fillId="0" borderId="0" xfId="0" applyFont="1" applyAlignment="1">
      <alignment horizontal="left" vertical="center" indent="1"/>
    </xf>
    <xf numFmtId="0" fontId="15" fillId="0" borderId="0" xfId="0" applyFont="1" applyAlignment="1">
      <alignment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11" fillId="0" borderId="6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left" vertical="center" wrapText="1"/>
    </xf>
    <xf numFmtId="0" fontId="11" fillId="0" borderId="6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0" borderId="10" xfId="0" applyFont="1" applyBorder="1" applyAlignment="1">
      <alignment horizontal="left" vertical="center" wrapText="1"/>
    </xf>
    <xf numFmtId="0" fontId="10" fillId="0" borderId="11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 wrapText="1"/>
    </xf>
    <xf numFmtId="0" fontId="11" fillId="0" borderId="0" xfId="0" applyFont="1" applyFill="1" applyBorder="1" applyAlignment="1">
      <alignment horizontal="left" vertical="center" wrapText="1"/>
    </xf>
    <xf numFmtId="44" fontId="0" fillId="0" borderId="0" xfId="1" applyFont="1"/>
    <xf numFmtId="44" fontId="0" fillId="0" borderId="0" xfId="0" applyNumberFormat="1"/>
    <xf numFmtId="0" fontId="7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11" fillId="0" borderId="14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17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18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center" vertical="center" wrapText="1"/>
    </xf>
    <xf numFmtId="0" fontId="6" fillId="0" borderId="0" xfId="2" applyAlignment="1">
      <alignment horizontal="center" vertical="center" wrapText="1"/>
    </xf>
    <xf numFmtId="0" fontId="22" fillId="3" borderId="0" xfId="0" applyFont="1" applyFill="1" applyAlignment="1">
      <alignment vertical="center" wrapText="1"/>
    </xf>
    <xf numFmtId="0" fontId="0" fillId="4" borderId="0" xfId="0" applyFill="1"/>
    <xf numFmtId="0" fontId="1" fillId="0" borderId="0" xfId="0" applyFont="1" applyAlignment="1">
      <alignment vertical="center"/>
    </xf>
    <xf numFmtId="0" fontId="0" fillId="0" borderId="0" xfId="0" applyAlignment="1"/>
    <xf numFmtId="0" fontId="23" fillId="2" borderId="1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24" fillId="0" borderId="1" xfId="0" applyFont="1" applyBorder="1" applyAlignment="1">
      <alignment horizontal="left" vertical="top" wrapText="1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hyperlink" Target="https://briloerp.com/contabilidad-general/" TargetMode="External"/><Relationship Id="rId3" Type="http://schemas.openxmlformats.org/officeDocument/2006/relationships/hyperlink" Target="https://briloerp.com/modulo-de-cuentas-por-cobrar/" TargetMode="External"/><Relationship Id="rId7" Type="http://schemas.openxmlformats.org/officeDocument/2006/relationships/hyperlink" Target="https://briloerp.com/modulo-cuentas-por-pagar/" TargetMode="External"/><Relationship Id="rId12" Type="http://schemas.openxmlformats.org/officeDocument/2006/relationships/image" Target="../media/image6.png"/><Relationship Id="rId17" Type="http://schemas.openxmlformats.org/officeDocument/2006/relationships/image" Target="../media/image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1" Type="http://schemas.openxmlformats.org/officeDocument/2006/relationships/hyperlink" Target="https://briloerp.com/modulo-de-ventas/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briloerp.com/recursos-humanos/" TargetMode="External"/><Relationship Id="rId5" Type="http://schemas.openxmlformats.org/officeDocument/2006/relationships/hyperlink" Target="https://briloerp.com/modulo-de-compras/" TargetMode="External"/><Relationship Id="rId15" Type="http://schemas.openxmlformats.org/officeDocument/2006/relationships/hyperlink" Target="https://briloerp.com/modulo-inventario/" TargetMode="Externa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hyperlink" Target="https://briloerp.com/modulo-bancos/" TargetMode="External"/><Relationship Id="rId1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731520</xdr:colOff>
      <xdr:row>7</xdr:row>
      <xdr:rowOff>0</xdr:rowOff>
    </xdr:to>
    <xdr:pic>
      <xdr:nvPicPr>
        <xdr:cNvPr id="2" name="Imagen 1" descr="Icono de módulo de Venta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406B5D-A472-1DAD-A41C-3445E77412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822960"/>
          <a:ext cx="731520" cy="731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731520</xdr:colOff>
      <xdr:row>9</xdr:row>
      <xdr:rowOff>0</xdr:rowOff>
    </xdr:to>
    <xdr:pic>
      <xdr:nvPicPr>
        <xdr:cNvPr id="3" name="Imagen 2" descr="Icono de módulo de Cuentas por cobrar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20AB4A2-2C8B-1C94-A995-6B0F142D3D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371600"/>
          <a:ext cx="731520" cy="731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731520</xdr:colOff>
      <xdr:row>13</xdr:row>
      <xdr:rowOff>0</xdr:rowOff>
    </xdr:to>
    <xdr:pic>
      <xdr:nvPicPr>
        <xdr:cNvPr id="4" name="Imagen 3" descr="Icono de módulo de Compra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6414FD1-824E-02AB-C71B-3AE173AFA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2103120"/>
          <a:ext cx="731520" cy="731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731520</xdr:colOff>
      <xdr:row>15</xdr:row>
      <xdr:rowOff>0</xdr:rowOff>
    </xdr:to>
    <xdr:pic>
      <xdr:nvPicPr>
        <xdr:cNvPr id="5" name="Imagen 4" descr="Icono de módulo de Cuentas por pagar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BAEB409-AC85-957E-FBF2-E89766AF5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2651760"/>
          <a:ext cx="731520" cy="731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731520</xdr:colOff>
      <xdr:row>19</xdr:row>
      <xdr:rowOff>0</xdr:rowOff>
    </xdr:to>
    <xdr:pic>
      <xdr:nvPicPr>
        <xdr:cNvPr id="6" name="Imagen 5" descr="Icono de módulo de Bancos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96013A5B-72FF-31D6-8BEF-3F4FCCC358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3383280"/>
          <a:ext cx="731520" cy="731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723900</xdr:colOff>
      <xdr:row>22</xdr:row>
      <xdr:rowOff>0</xdr:rowOff>
    </xdr:to>
    <xdr:pic>
      <xdr:nvPicPr>
        <xdr:cNvPr id="7" name="Imagen 6" descr="Icono de módulo de Recursos Humanos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184008B-2FDF-2733-9ABA-FB1442AF15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3931920"/>
          <a:ext cx="723900" cy="731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1</xdr:col>
      <xdr:colOff>731520</xdr:colOff>
      <xdr:row>25</xdr:row>
      <xdr:rowOff>0</xdr:rowOff>
    </xdr:to>
    <xdr:pic>
      <xdr:nvPicPr>
        <xdr:cNvPr id="8" name="Imagen 7" descr="Icono de módulo de Contabilidad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DEB4F4B7-1A50-E6A2-0E0B-030D08E2F4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4480560"/>
          <a:ext cx="731520" cy="731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731520</xdr:colOff>
      <xdr:row>28</xdr:row>
      <xdr:rowOff>0</xdr:rowOff>
    </xdr:to>
    <xdr:pic>
      <xdr:nvPicPr>
        <xdr:cNvPr id="9" name="Imagen 8" descr="Icono de módulo de Inventario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24C27DCA-88EE-A33E-8E20-3A0493072C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5029200"/>
          <a:ext cx="731520" cy="731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1</xdr:col>
      <xdr:colOff>731520</xdr:colOff>
      <xdr:row>28</xdr:row>
      <xdr:rowOff>548640</xdr:rowOff>
    </xdr:to>
    <xdr:pic>
      <xdr:nvPicPr>
        <xdr:cNvPr id="10" name="Imagen 9" descr="Icono de módulo de Administración del Sistema">
          <a:extLst>
            <a:ext uri="{FF2B5EF4-FFF2-40B4-BE49-F238E27FC236}">
              <a16:creationId xmlns:a16="http://schemas.microsoft.com/office/drawing/2014/main" id="{23F180A7-3C3D-FF1C-BED2-294C820835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5577840"/>
          <a:ext cx="731520" cy="731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briloerp.com/modulo-inventario/" TargetMode="External"/><Relationship Id="rId3" Type="http://schemas.openxmlformats.org/officeDocument/2006/relationships/hyperlink" Target="https://briloerp.com/modulo-de-compras/" TargetMode="External"/><Relationship Id="rId7" Type="http://schemas.openxmlformats.org/officeDocument/2006/relationships/hyperlink" Target="https://briloerp.com/contabilidad-general/" TargetMode="External"/><Relationship Id="rId2" Type="http://schemas.openxmlformats.org/officeDocument/2006/relationships/hyperlink" Target="https://briloerp.com/modulo-de-cuentas-por-cobrar/" TargetMode="External"/><Relationship Id="rId1" Type="http://schemas.openxmlformats.org/officeDocument/2006/relationships/hyperlink" Target="https://briloerp.com/modulo-de-ventas/" TargetMode="External"/><Relationship Id="rId6" Type="http://schemas.openxmlformats.org/officeDocument/2006/relationships/hyperlink" Target="https://briloerp.com/recursos-humanos/" TargetMode="External"/><Relationship Id="rId5" Type="http://schemas.openxmlformats.org/officeDocument/2006/relationships/hyperlink" Target="https://briloerp.com/modulo-bancos/" TargetMode="External"/><Relationship Id="rId4" Type="http://schemas.openxmlformats.org/officeDocument/2006/relationships/hyperlink" Target="https://briloerp.com/modulo-cuentas-por-pagar/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13" sqref="C13"/>
    </sheetView>
  </sheetViews>
  <sheetFormatPr baseColWidth="10" defaultColWidth="8.88671875" defaultRowHeight="14.4" x14ac:dyDescent="0.3"/>
  <cols>
    <col min="1" max="1" width="24.77734375" customWidth="1"/>
    <col min="2" max="4" width="25" customWidth="1"/>
    <col min="5" max="5" width="22.77734375" bestFit="1" customWidth="1"/>
    <col min="6" max="6" width="22.77734375" customWidth="1"/>
    <col min="7" max="7" width="22.77734375" bestFit="1" customWidth="1"/>
    <col min="8" max="8" width="40.109375" customWidth="1"/>
  </cols>
  <sheetData>
    <row r="1" spans="1:8" ht="40.049999999999997" customHeight="1" x14ac:dyDescent="0.3">
      <c r="A1" s="42" t="s">
        <v>0</v>
      </c>
      <c r="B1" s="43"/>
      <c r="C1" s="43"/>
      <c r="D1" s="43"/>
      <c r="E1" s="43"/>
      <c r="F1" s="43"/>
      <c r="G1" s="43"/>
    </row>
    <row r="3" spans="1:8" s="4" customFormat="1" ht="49.8" customHeight="1" x14ac:dyDescent="0.3">
      <c r="A3" s="3" t="s">
        <v>1</v>
      </c>
      <c r="B3" s="3" t="s">
        <v>2</v>
      </c>
      <c r="C3" s="3" t="s">
        <v>3</v>
      </c>
      <c r="D3" s="3" t="s">
        <v>4</v>
      </c>
      <c r="E3" s="44" t="s">
        <v>351</v>
      </c>
      <c r="F3" s="3" t="s">
        <v>26</v>
      </c>
      <c r="G3" s="3" t="s">
        <v>25</v>
      </c>
      <c r="H3" s="3" t="s">
        <v>360</v>
      </c>
    </row>
    <row r="4" spans="1:8" ht="25.8" customHeight="1" x14ac:dyDescent="0.3">
      <c r="A4" s="45" t="s">
        <v>5</v>
      </c>
      <c r="B4" s="45" t="s">
        <v>7</v>
      </c>
      <c r="C4" s="45" t="s">
        <v>8</v>
      </c>
      <c r="D4" s="45" t="s">
        <v>9</v>
      </c>
      <c r="E4" s="45" t="s">
        <v>6</v>
      </c>
      <c r="F4" s="45" t="s">
        <v>27</v>
      </c>
      <c r="G4" s="46" t="s">
        <v>353</v>
      </c>
      <c r="H4" s="46" t="s">
        <v>352</v>
      </c>
    </row>
    <row r="5" spans="1:8" ht="25.8" customHeight="1" x14ac:dyDescent="0.3">
      <c r="A5" s="45" t="s">
        <v>10</v>
      </c>
      <c r="B5" s="45" t="s">
        <v>12</v>
      </c>
      <c r="C5" s="45" t="s">
        <v>13</v>
      </c>
      <c r="D5" s="45" t="s">
        <v>14</v>
      </c>
      <c r="E5" s="45" t="s">
        <v>11</v>
      </c>
      <c r="F5" s="45" t="s">
        <v>28</v>
      </c>
      <c r="G5" s="45" t="s">
        <v>354</v>
      </c>
      <c r="H5" s="46" t="s">
        <v>355</v>
      </c>
    </row>
    <row r="6" spans="1:8" ht="25.8" customHeight="1" x14ac:dyDescent="0.3">
      <c r="A6" s="45" t="s">
        <v>15</v>
      </c>
      <c r="B6" s="45" t="s">
        <v>17</v>
      </c>
      <c r="C6" s="45" t="s">
        <v>18</v>
      </c>
      <c r="D6" s="45" t="s">
        <v>19</v>
      </c>
      <c r="E6" s="45" t="s">
        <v>16</v>
      </c>
      <c r="F6" s="45" t="s">
        <v>29</v>
      </c>
      <c r="G6" s="45" t="s">
        <v>356</v>
      </c>
      <c r="H6" s="46" t="s">
        <v>357</v>
      </c>
    </row>
    <row r="7" spans="1:8" ht="25.8" customHeight="1" x14ac:dyDescent="0.3">
      <c r="A7" s="45" t="s">
        <v>20</v>
      </c>
      <c r="B7" s="45" t="s">
        <v>22</v>
      </c>
      <c r="C7" s="45" t="s">
        <v>23</v>
      </c>
      <c r="D7" s="45" t="s">
        <v>24</v>
      </c>
      <c r="E7" s="45" t="s">
        <v>21</v>
      </c>
      <c r="F7" s="45" t="s">
        <v>30</v>
      </c>
      <c r="G7" t="s">
        <v>358</v>
      </c>
      <c r="H7" s="46" t="s">
        <v>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A52A-5C20-4905-8179-265421F22577}">
  <dimension ref="A1:I21"/>
  <sheetViews>
    <sheetView workbookViewId="0">
      <selection activeCell="D9" sqref="D9"/>
    </sheetView>
  </sheetViews>
  <sheetFormatPr baseColWidth="10" defaultRowHeight="14.4" x14ac:dyDescent="0.3"/>
  <cols>
    <col min="1" max="1" width="23.88671875" customWidth="1"/>
    <col min="2" max="2" width="15.109375" customWidth="1"/>
    <col min="6" max="7" width="24.44140625" customWidth="1"/>
    <col min="9" max="9" width="18.5546875" customWidth="1"/>
  </cols>
  <sheetData>
    <row r="1" spans="1:9" ht="15" thickBot="1" x14ac:dyDescent="0.35"/>
    <row r="2" spans="1:9" ht="50.4" x14ac:dyDescent="0.3">
      <c r="A2" s="29" t="s">
        <v>114</v>
      </c>
      <c r="B2" s="31" t="s">
        <v>361</v>
      </c>
      <c r="C2" s="31" t="s">
        <v>362</v>
      </c>
      <c r="D2" s="31" t="s">
        <v>363</v>
      </c>
      <c r="E2" s="32" t="s">
        <v>358</v>
      </c>
      <c r="F2" s="32" t="s">
        <v>123</v>
      </c>
    </row>
    <row r="3" spans="1:9" ht="15" x14ac:dyDescent="0.3">
      <c r="A3" s="33" t="s">
        <v>101</v>
      </c>
      <c r="B3" s="34" t="s">
        <v>115</v>
      </c>
      <c r="C3" s="34" t="s">
        <v>115</v>
      </c>
      <c r="D3" s="34" t="s">
        <v>115</v>
      </c>
      <c r="E3" s="34" t="s">
        <v>115</v>
      </c>
      <c r="F3" s="30"/>
    </row>
    <row r="4" spans="1:9" ht="15" x14ac:dyDescent="0.3">
      <c r="A4" s="33" t="s">
        <v>103</v>
      </c>
      <c r="B4" s="34"/>
      <c r="C4" s="34" t="s">
        <v>115</v>
      </c>
      <c r="D4" s="34" t="s">
        <v>115</v>
      </c>
      <c r="E4" s="34" t="s">
        <v>115</v>
      </c>
      <c r="F4" s="30"/>
      <c r="I4" t="s">
        <v>346</v>
      </c>
    </row>
    <row r="5" spans="1:9" ht="15" x14ac:dyDescent="0.3">
      <c r="A5" s="33" t="s">
        <v>105</v>
      </c>
      <c r="B5" s="34"/>
      <c r="C5" s="34" t="s">
        <v>115</v>
      </c>
      <c r="D5" s="34" t="s">
        <v>115</v>
      </c>
      <c r="E5" s="34" t="s">
        <v>115</v>
      </c>
      <c r="F5" s="30"/>
      <c r="I5" s="41" t="s">
        <v>343</v>
      </c>
    </row>
    <row r="6" spans="1:9" ht="15" x14ac:dyDescent="0.3">
      <c r="A6" s="33" t="s">
        <v>349</v>
      </c>
      <c r="B6" s="34"/>
      <c r="C6" s="34" t="s">
        <v>115</v>
      </c>
      <c r="D6" s="34" t="s">
        <v>115</v>
      </c>
      <c r="E6" s="34" t="s">
        <v>115</v>
      </c>
      <c r="F6" s="30"/>
    </row>
    <row r="7" spans="1:9" ht="15" x14ac:dyDescent="0.3">
      <c r="A7" s="33" t="s">
        <v>350</v>
      </c>
      <c r="B7" s="34"/>
      <c r="C7" s="34" t="s">
        <v>115</v>
      </c>
      <c r="D7" s="34" t="s">
        <v>115</v>
      </c>
      <c r="E7" s="34" t="s">
        <v>115</v>
      </c>
      <c r="F7" s="30"/>
    </row>
    <row r="8" spans="1:9" ht="15" x14ac:dyDescent="0.3">
      <c r="A8" s="33" t="s">
        <v>104</v>
      </c>
      <c r="B8" s="34"/>
      <c r="C8" s="34" t="s">
        <v>115</v>
      </c>
      <c r="D8" s="34" t="s">
        <v>115</v>
      </c>
      <c r="E8" s="34" t="s">
        <v>115</v>
      </c>
      <c r="F8" s="30"/>
      <c r="I8" s="41" t="s">
        <v>344</v>
      </c>
    </row>
    <row r="9" spans="1:9" ht="15" x14ac:dyDescent="0.3">
      <c r="A9" s="33" t="s">
        <v>108</v>
      </c>
      <c r="B9" s="34"/>
      <c r="C9" s="34"/>
      <c r="D9" s="34" t="s">
        <v>115</v>
      </c>
      <c r="E9" s="34" t="s">
        <v>115</v>
      </c>
      <c r="F9" s="30"/>
      <c r="I9" s="41" t="s">
        <v>209</v>
      </c>
    </row>
    <row r="10" spans="1:9" ht="15" x14ac:dyDescent="0.3">
      <c r="A10" s="33" t="s">
        <v>102</v>
      </c>
      <c r="B10" s="34"/>
      <c r="C10" s="34"/>
      <c r="D10" s="34" t="s">
        <v>115</v>
      </c>
      <c r="E10" s="34" t="s">
        <v>115</v>
      </c>
      <c r="F10" s="30"/>
      <c r="I10" t="s">
        <v>347</v>
      </c>
    </row>
    <row r="11" spans="1:9" ht="27" customHeight="1" x14ac:dyDescent="0.3">
      <c r="A11" s="33" t="s">
        <v>110</v>
      </c>
      <c r="B11" s="34"/>
      <c r="C11" s="34"/>
      <c r="D11" s="34" t="s">
        <v>115</v>
      </c>
      <c r="E11" s="34" t="s">
        <v>115</v>
      </c>
      <c r="F11" s="33" t="s">
        <v>119</v>
      </c>
      <c r="G11" s="33" t="s">
        <v>120</v>
      </c>
    </row>
    <row r="12" spans="1:9" ht="15" x14ac:dyDescent="0.3">
      <c r="A12" s="33" t="s">
        <v>109</v>
      </c>
      <c r="B12" s="34"/>
      <c r="C12" s="34"/>
      <c r="D12" s="34" t="s">
        <v>115</v>
      </c>
      <c r="E12" s="34" t="s">
        <v>115</v>
      </c>
      <c r="F12" s="30"/>
      <c r="I12" s="41" t="s">
        <v>341</v>
      </c>
    </row>
    <row r="13" spans="1:9" ht="15" x14ac:dyDescent="0.3">
      <c r="A13" s="33" t="s">
        <v>107</v>
      </c>
      <c r="B13" s="34"/>
      <c r="C13" s="34"/>
      <c r="D13" s="34" t="s">
        <v>115</v>
      </c>
      <c r="E13" s="34" t="s">
        <v>115</v>
      </c>
      <c r="F13" s="30"/>
      <c r="I13" s="41" t="s">
        <v>237</v>
      </c>
    </row>
    <row r="14" spans="1:9" ht="15" x14ac:dyDescent="0.3">
      <c r="A14" s="33" t="s">
        <v>106</v>
      </c>
      <c r="B14" s="34"/>
      <c r="C14" s="34"/>
      <c r="D14" s="34"/>
      <c r="E14" s="34" t="s">
        <v>115</v>
      </c>
      <c r="F14" s="30"/>
      <c r="I14" s="41" t="s">
        <v>345</v>
      </c>
    </row>
    <row r="15" spans="1:9" ht="15" x14ac:dyDescent="0.3">
      <c r="A15" s="33" t="s">
        <v>124</v>
      </c>
      <c r="E15" s="34" t="s">
        <v>115</v>
      </c>
      <c r="F15" s="33" t="s">
        <v>121</v>
      </c>
      <c r="G15" s="33" t="s">
        <v>122</v>
      </c>
    </row>
    <row r="16" spans="1:9" ht="30" x14ac:dyDescent="0.3">
      <c r="A16" s="33" t="s">
        <v>340</v>
      </c>
      <c r="B16" s="34"/>
      <c r="C16" s="34"/>
      <c r="D16" s="34"/>
      <c r="E16" s="34" t="s">
        <v>115</v>
      </c>
      <c r="F16" s="33" t="s">
        <v>117</v>
      </c>
      <c r="G16" s="33" t="s">
        <v>118</v>
      </c>
    </row>
    <row r="17" spans="1:6" ht="15" x14ac:dyDescent="0.3">
      <c r="A17" s="33" t="s">
        <v>111</v>
      </c>
      <c r="B17" s="34"/>
      <c r="C17" s="34"/>
      <c r="D17" s="34"/>
      <c r="E17" s="34" t="s">
        <v>115</v>
      </c>
      <c r="F17" s="30"/>
    </row>
    <row r="18" spans="1:6" ht="15" x14ac:dyDescent="0.3">
      <c r="A18" s="33" t="s">
        <v>116</v>
      </c>
      <c r="B18" s="34"/>
      <c r="C18" s="34"/>
      <c r="D18" s="34"/>
      <c r="E18" s="34" t="s">
        <v>115</v>
      </c>
      <c r="F18" s="30"/>
    </row>
    <row r="19" spans="1:6" ht="15" x14ac:dyDescent="0.3">
      <c r="A19" s="33" t="s">
        <v>112</v>
      </c>
      <c r="B19" s="34"/>
      <c r="C19" s="34"/>
      <c r="D19" s="34"/>
      <c r="E19" s="34" t="s">
        <v>115</v>
      </c>
      <c r="F19" s="30"/>
    </row>
    <row r="20" spans="1:6" ht="15" x14ac:dyDescent="0.3">
      <c r="A20" s="33" t="s">
        <v>113</v>
      </c>
      <c r="B20" s="34"/>
      <c r="C20" s="34"/>
      <c r="D20" s="34"/>
      <c r="E20" s="34"/>
      <c r="F20" s="30"/>
    </row>
    <row r="21" spans="1:6" x14ac:dyDescent="0.3">
      <c r="B21" s="30">
        <f>+COUNTA(B3:B20)</f>
        <v>1</v>
      </c>
      <c r="C21" s="30">
        <f>+COUNTA(C3:C20)</f>
        <v>6</v>
      </c>
      <c r="D21" s="30">
        <f>+COUNTA(D3:D20)</f>
        <v>11</v>
      </c>
      <c r="E21" s="30">
        <f>+COUNTA(E3:E18)</f>
        <v>16</v>
      </c>
    </row>
  </sheetData>
  <sortState xmlns:xlrd2="http://schemas.microsoft.com/office/spreadsheetml/2017/richdata2" ref="I10:I28">
    <sortCondition ref="I10:I2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2E702-D0D4-4EF7-95E7-47F29ECE2453}">
  <dimension ref="A2:K26"/>
  <sheetViews>
    <sheetView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RowHeight="14.4" x14ac:dyDescent="0.3"/>
  <cols>
    <col min="1" max="1" width="25.6640625" customWidth="1"/>
    <col min="2" max="5" width="31.33203125" customWidth="1"/>
  </cols>
  <sheetData>
    <row r="2" spans="1:11" ht="30.6" thickBot="1" x14ac:dyDescent="0.35">
      <c r="A2" s="29" t="s">
        <v>48</v>
      </c>
      <c r="B2" s="5"/>
      <c r="C2" s="5"/>
      <c r="D2" s="5"/>
      <c r="E2" s="5"/>
    </row>
    <row r="3" spans="1:11" ht="34.200000000000003" thickBot="1" x14ac:dyDescent="0.35">
      <c r="A3" s="23" t="s">
        <v>43</v>
      </c>
      <c r="B3" s="24" t="s">
        <v>31</v>
      </c>
      <c r="C3" s="24" t="s">
        <v>32</v>
      </c>
      <c r="D3" s="24" t="s">
        <v>33</v>
      </c>
      <c r="E3" s="25" t="s">
        <v>34</v>
      </c>
    </row>
    <row r="4" spans="1:11" ht="67.2" x14ac:dyDescent="0.3">
      <c r="A4" s="12" t="s">
        <v>49</v>
      </c>
      <c r="B4" s="13" t="s">
        <v>42</v>
      </c>
      <c r="C4" s="13" t="s">
        <v>35</v>
      </c>
      <c r="D4" s="13" t="s">
        <v>36</v>
      </c>
      <c r="E4" s="14" t="s">
        <v>37</v>
      </c>
      <c r="F4" s="26" t="s">
        <v>82</v>
      </c>
      <c r="G4" s="26" t="s">
        <v>80</v>
      </c>
      <c r="H4" s="26" t="s">
        <v>81</v>
      </c>
    </row>
    <row r="5" spans="1:11" ht="16.8" x14ac:dyDescent="0.3">
      <c r="A5" s="15" t="s">
        <v>50</v>
      </c>
      <c r="B5" s="9" t="s">
        <v>364</v>
      </c>
      <c r="C5" s="9" t="s">
        <v>52</v>
      </c>
      <c r="D5" s="9" t="s">
        <v>53</v>
      </c>
      <c r="E5" s="16" t="s">
        <v>54</v>
      </c>
      <c r="F5" s="27">
        <v>35</v>
      </c>
      <c r="G5">
        <v>1</v>
      </c>
      <c r="H5" s="27">
        <f>F5/G5</f>
        <v>35</v>
      </c>
    </row>
    <row r="6" spans="1:11" ht="16.8" x14ac:dyDescent="0.3">
      <c r="A6" s="15"/>
      <c r="B6" s="10" t="s">
        <v>51</v>
      </c>
      <c r="C6" s="10" t="s">
        <v>51</v>
      </c>
      <c r="D6" s="10" t="s">
        <v>51</v>
      </c>
      <c r="E6" s="17" t="s">
        <v>51</v>
      </c>
      <c r="F6" s="27"/>
      <c r="H6" s="27"/>
    </row>
    <row r="7" spans="1:11" x14ac:dyDescent="0.3">
      <c r="A7" s="15"/>
      <c r="F7" s="27">
        <v>149</v>
      </c>
      <c r="G7">
        <v>6</v>
      </c>
      <c r="H7" s="27">
        <f>F7/G7</f>
        <v>24.833333333333332</v>
      </c>
      <c r="I7" s="28">
        <f>+G7*$H$5</f>
        <v>210</v>
      </c>
      <c r="J7" s="28">
        <f>+I7-F7</f>
        <v>61</v>
      </c>
      <c r="K7" s="27">
        <f>+J7/G7</f>
        <v>10.166666666666666</v>
      </c>
    </row>
    <row r="8" spans="1:11" ht="16.8" x14ac:dyDescent="0.3">
      <c r="A8" s="15" t="s">
        <v>55</v>
      </c>
      <c r="B8" s="9" t="s">
        <v>79</v>
      </c>
      <c r="C8" s="9" t="s">
        <v>99</v>
      </c>
      <c r="D8" s="9" t="s">
        <v>98</v>
      </c>
      <c r="E8" s="16" t="s">
        <v>78</v>
      </c>
      <c r="F8" s="27">
        <v>275</v>
      </c>
      <c r="G8">
        <v>10</v>
      </c>
      <c r="H8" s="27">
        <f>F8/G8</f>
        <v>27.5</v>
      </c>
      <c r="I8" s="28">
        <f t="shared" ref="I8:I9" si="0">+G8*$H$5</f>
        <v>350</v>
      </c>
      <c r="J8" s="28">
        <f t="shared" ref="J8:J9" si="1">+I8-F8</f>
        <v>75</v>
      </c>
      <c r="K8" s="27">
        <f t="shared" ref="K8:K9" si="2">+J8/G8</f>
        <v>7.5</v>
      </c>
    </row>
    <row r="9" spans="1:11" ht="33.6" x14ac:dyDescent="0.3">
      <c r="A9" s="15"/>
      <c r="B9" s="10" t="s">
        <v>100</v>
      </c>
      <c r="C9" s="10" t="s">
        <v>56</v>
      </c>
      <c r="D9" s="10" t="s">
        <v>57</v>
      </c>
      <c r="E9" s="17" t="s">
        <v>58</v>
      </c>
      <c r="F9" s="27">
        <v>400</v>
      </c>
      <c r="G9">
        <v>15</v>
      </c>
      <c r="H9" s="27">
        <f t="shared" ref="H9" si="3">F9/G9</f>
        <v>26.666666666666668</v>
      </c>
      <c r="I9" s="28">
        <f t="shared" si="0"/>
        <v>525</v>
      </c>
      <c r="J9" s="28">
        <f t="shared" si="1"/>
        <v>125</v>
      </c>
      <c r="K9" s="27">
        <f t="shared" si="2"/>
        <v>8.3333333333333339</v>
      </c>
    </row>
    <row r="10" spans="1:11" ht="16.8" x14ac:dyDescent="0.3">
      <c r="A10" s="18" t="s">
        <v>59</v>
      </c>
      <c r="B10" s="11" t="s">
        <v>60</v>
      </c>
      <c r="C10" s="11" t="s">
        <v>60</v>
      </c>
      <c r="D10" s="11" t="s">
        <v>60</v>
      </c>
      <c r="E10" s="19" t="s">
        <v>60</v>
      </c>
    </row>
    <row r="11" spans="1:11" ht="33.6" x14ac:dyDescent="0.3">
      <c r="A11" s="18" t="s">
        <v>38</v>
      </c>
      <c r="B11" s="9" t="s">
        <v>73</v>
      </c>
      <c r="C11" s="11" t="s">
        <v>39</v>
      </c>
      <c r="D11" s="11" t="s">
        <v>40</v>
      </c>
      <c r="E11" s="19" t="s">
        <v>41</v>
      </c>
    </row>
    <row r="12" spans="1:11" ht="16.8" x14ac:dyDescent="0.3">
      <c r="A12" s="15" t="s">
        <v>61</v>
      </c>
      <c r="B12" s="11" t="s">
        <v>83</v>
      </c>
      <c r="C12" s="11" t="s">
        <v>84</v>
      </c>
      <c r="D12" s="11" t="s">
        <v>85</v>
      </c>
      <c r="E12" s="19" t="s">
        <v>86</v>
      </c>
    </row>
    <row r="13" spans="1:11" ht="33.6" x14ac:dyDescent="0.3">
      <c r="A13" s="15"/>
      <c r="B13" s="11" t="s">
        <v>87</v>
      </c>
      <c r="C13" s="11" t="s">
        <v>88</v>
      </c>
      <c r="D13" s="11" t="s">
        <v>89</v>
      </c>
      <c r="E13" s="19" t="s">
        <v>90</v>
      </c>
    </row>
    <row r="14" spans="1:11" ht="16.8" x14ac:dyDescent="0.3">
      <c r="A14" s="15"/>
      <c r="B14" s="11"/>
      <c r="C14" s="11" t="s">
        <v>91</v>
      </c>
      <c r="D14" s="11" t="s">
        <v>92</v>
      </c>
      <c r="E14" s="19" t="s">
        <v>93</v>
      </c>
    </row>
    <row r="15" spans="1:11" ht="16.8" x14ac:dyDescent="0.3">
      <c r="A15" s="15"/>
      <c r="B15" s="11"/>
      <c r="C15" s="11" t="s">
        <v>94</v>
      </c>
      <c r="D15" s="11" t="s">
        <v>95</v>
      </c>
      <c r="E15" s="19" t="s">
        <v>96</v>
      </c>
    </row>
    <row r="16" spans="1:11" ht="16.8" x14ac:dyDescent="0.3">
      <c r="A16" s="15"/>
      <c r="B16" s="11"/>
      <c r="C16" s="11"/>
      <c r="D16" s="11"/>
      <c r="E16" s="19" t="s">
        <v>97</v>
      </c>
    </row>
    <row r="17" spans="1:5" ht="50.4" x14ac:dyDescent="0.3">
      <c r="A17" s="18" t="s">
        <v>44</v>
      </c>
      <c r="B17" s="11" t="s">
        <v>62</v>
      </c>
      <c r="C17" s="11" t="s">
        <v>63</v>
      </c>
      <c r="D17" s="11" t="s">
        <v>64</v>
      </c>
      <c r="E17" s="19" t="s">
        <v>65</v>
      </c>
    </row>
    <row r="18" spans="1:5" ht="33.6" x14ac:dyDescent="0.3">
      <c r="A18" s="18" t="s">
        <v>45</v>
      </c>
      <c r="B18" s="9" t="s">
        <v>66</v>
      </c>
      <c r="C18" s="11" t="s">
        <v>74</v>
      </c>
      <c r="D18" s="11" t="s">
        <v>74</v>
      </c>
      <c r="E18" s="19" t="s">
        <v>74</v>
      </c>
    </row>
    <row r="19" spans="1:5" ht="33.6" x14ac:dyDescent="0.3">
      <c r="A19" s="18" t="s">
        <v>46</v>
      </c>
      <c r="B19" s="11" t="s">
        <v>75</v>
      </c>
      <c r="C19" s="11" t="s">
        <v>75</v>
      </c>
      <c r="D19" s="11" t="s">
        <v>75</v>
      </c>
      <c r="E19" s="19" t="s">
        <v>75</v>
      </c>
    </row>
    <row r="20" spans="1:5" ht="51" thickBot="1" x14ac:dyDescent="0.35">
      <c r="A20" s="20" t="s">
        <v>47</v>
      </c>
      <c r="B20" s="21" t="s">
        <v>67</v>
      </c>
      <c r="C20" s="21" t="s">
        <v>68</v>
      </c>
      <c r="D20" s="21" t="s">
        <v>69</v>
      </c>
      <c r="E20" s="22" t="s">
        <v>70</v>
      </c>
    </row>
    <row r="21" spans="1:5" x14ac:dyDescent="0.3">
      <c r="A21" s="5"/>
      <c r="B21" s="5"/>
      <c r="C21" s="5"/>
      <c r="D21" s="5"/>
      <c r="E21" s="5"/>
    </row>
    <row r="22" spans="1:5" x14ac:dyDescent="0.3">
      <c r="A22" s="5"/>
      <c r="B22" s="5"/>
      <c r="C22" s="5"/>
      <c r="D22" s="5"/>
      <c r="E22" s="5"/>
    </row>
    <row r="23" spans="1:5" ht="15" x14ac:dyDescent="0.3">
      <c r="A23" s="6" t="s">
        <v>71</v>
      </c>
      <c r="B23" s="5"/>
      <c r="C23" s="5"/>
      <c r="D23" s="5"/>
      <c r="E23" s="5"/>
    </row>
    <row r="24" spans="1:5" x14ac:dyDescent="0.3">
      <c r="A24" s="7" t="s">
        <v>76</v>
      </c>
      <c r="B24" s="5"/>
      <c r="C24" s="5"/>
      <c r="D24" s="5"/>
      <c r="E24" s="5"/>
    </row>
    <row r="25" spans="1:5" x14ac:dyDescent="0.3">
      <c r="A25" s="7" t="s">
        <v>77</v>
      </c>
      <c r="B25" s="5"/>
      <c r="C25" s="5"/>
      <c r="D25" s="5"/>
      <c r="E25" s="5"/>
    </row>
    <row r="26" spans="1:5" x14ac:dyDescent="0.3">
      <c r="A26" s="8" t="s">
        <v>72</v>
      </c>
      <c r="B26" s="5"/>
      <c r="C26" s="5"/>
      <c r="D26" s="5"/>
      <c r="E26" s="5"/>
    </row>
  </sheetData>
  <mergeCells count="3">
    <mergeCell ref="A5:A7"/>
    <mergeCell ref="A8:A9"/>
    <mergeCell ref="A12:A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CDC-3864-46F1-9E16-774E65656D44}">
  <dimension ref="B2:G52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RowHeight="14.4" x14ac:dyDescent="0.3"/>
  <cols>
    <col min="4" max="4" width="17" customWidth="1"/>
    <col min="5" max="5" width="17.5546875" customWidth="1"/>
    <col min="6" max="6" width="55.6640625" customWidth="1"/>
  </cols>
  <sheetData>
    <row r="2" spans="2:7" ht="31.2" x14ac:dyDescent="0.3">
      <c r="B2" s="2" t="s">
        <v>125</v>
      </c>
      <c r="C2" s="2" t="s">
        <v>126</v>
      </c>
      <c r="D2" s="2" t="s">
        <v>127</v>
      </c>
      <c r="E2" s="2" t="s">
        <v>128</v>
      </c>
      <c r="F2" s="2" t="s">
        <v>129</v>
      </c>
      <c r="G2" s="2" t="s">
        <v>130</v>
      </c>
    </row>
    <row r="3" spans="2:7" ht="31.2" x14ac:dyDescent="0.3">
      <c r="B3" s="2">
        <v>1</v>
      </c>
      <c r="C3" s="2" t="s">
        <v>131</v>
      </c>
      <c r="D3" s="2" t="s">
        <v>132</v>
      </c>
      <c r="E3" s="2" t="s">
        <v>133</v>
      </c>
      <c r="F3" s="2" t="s">
        <v>134</v>
      </c>
      <c r="G3" s="35" t="s">
        <v>135</v>
      </c>
    </row>
    <row r="4" spans="2:7" ht="31.2" x14ac:dyDescent="0.3">
      <c r="B4" s="2">
        <v>2</v>
      </c>
      <c r="C4" s="2" t="s">
        <v>131</v>
      </c>
      <c r="D4" s="2" t="s">
        <v>136</v>
      </c>
      <c r="E4" s="2" t="s">
        <v>137</v>
      </c>
      <c r="F4" s="2" t="s">
        <v>138</v>
      </c>
      <c r="G4" s="35" t="s">
        <v>135</v>
      </c>
    </row>
    <row r="5" spans="2:7" ht="31.2" x14ac:dyDescent="0.3">
      <c r="B5" s="2">
        <v>3</v>
      </c>
      <c r="C5" s="2" t="s">
        <v>131</v>
      </c>
      <c r="D5" s="2" t="s">
        <v>139</v>
      </c>
      <c r="E5" s="2" t="s">
        <v>140</v>
      </c>
      <c r="F5" s="2" t="s">
        <v>141</v>
      </c>
      <c r="G5" s="35" t="s">
        <v>135</v>
      </c>
    </row>
    <row r="6" spans="2:7" ht="31.2" x14ac:dyDescent="0.3">
      <c r="B6" s="2">
        <v>4</v>
      </c>
      <c r="C6" s="2" t="s">
        <v>131</v>
      </c>
      <c r="D6" s="2" t="s">
        <v>142</v>
      </c>
      <c r="E6" s="2" t="s">
        <v>143</v>
      </c>
      <c r="F6" s="2" t="s">
        <v>144</v>
      </c>
      <c r="G6" s="35" t="s">
        <v>135</v>
      </c>
    </row>
    <row r="7" spans="2:7" ht="31.2" x14ac:dyDescent="0.3">
      <c r="B7" s="2">
        <v>5</v>
      </c>
      <c r="C7" s="2" t="s">
        <v>131</v>
      </c>
      <c r="D7" s="2" t="s">
        <v>145</v>
      </c>
      <c r="E7" s="2" t="s">
        <v>133</v>
      </c>
      <c r="F7" s="2" t="s">
        <v>146</v>
      </c>
      <c r="G7" s="35" t="s">
        <v>147</v>
      </c>
    </row>
    <row r="8" spans="2:7" ht="31.2" x14ac:dyDescent="0.3">
      <c r="B8" s="2">
        <v>6</v>
      </c>
      <c r="C8" s="2" t="s">
        <v>131</v>
      </c>
      <c r="D8" s="2" t="s">
        <v>148</v>
      </c>
      <c r="E8" s="2" t="s">
        <v>149</v>
      </c>
      <c r="F8" s="2" t="s">
        <v>150</v>
      </c>
      <c r="G8" s="35" t="s">
        <v>147</v>
      </c>
    </row>
    <row r="9" spans="2:7" ht="31.2" x14ac:dyDescent="0.3">
      <c r="B9" s="2">
        <v>7</v>
      </c>
      <c r="C9" s="2" t="s">
        <v>151</v>
      </c>
      <c r="D9" s="2" t="s">
        <v>152</v>
      </c>
      <c r="E9" s="2" t="s">
        <v>153</v>
      </c>
      <c r="F9" s="2" t="s">
        <v>154</v>
      </c>
      <c r="G9" s="35" t="s">
        <v>135</v>
      </c>
    </row>
    <row r="10" spans="2:7" ht="31.2" x14ac:dyDescent="0.3">
      <c r="B10" s="2">
        <v>8</v>
      </c>
      <c r="C10" s="2" t="s">
        <v>151</v>
      </c>
      <c r="D10" s="2" t="s">
        <v>155</v>
      </c>
      <c r="E10" s="2" t="s">
        <v>156</v>
      </c>
      <c r="F10" s="2" t="s">
        <v>157</v>
      </c>
      <c r="G10" s="35" t="s">
        <v>135</v>
      </c>
    </row>
    <row r="11" spans="2:7" ht="31.2" x14ac:dyDescent="0.3">
      <c r="B11" s="2">
        <v>9</v>
      </c>
      <c r="C11" s="2" t="s">
        <v>151</v>
      </c>
      <c r="D11" s="2" t="s">
        <v>158</v>
      </c>
      <c r="E11" s="2" t="s">
        <v>159</v>
      </c>
      <c r="F11" s="2" t="s">
        <v>160</v>
      </c>
      <c r="G11" s="35" t="s">
        <v>147</v>
      </c>
    </row>
    <row r="12" spans="2:7" ht="31.2" x14ac:dyDescent="0.3">
      <c r="B12" s="2">
        <v>10</v>
      </c>
      <c r="C12" s="2" t="s">
        <v>151</v>
      </c>
      <c r="D12" s="2" t="s">
        <v>161</v>
      </c>
      <c r="E12" s="2" t="s">
        <v>162</v>
      </c>
      <c r="F12" s="2" t="s">
        <v>163</v>
      </c>
      <c r="G12" s="35" t="s">
        <v>147</v>
      </c>
    </row>
    <row r="13" spans="2:7" ht="18" x14ac:dyDescent="0.3">
      <c r="B13" s="2">
        <v>11</v>
      </c>
      <c r="C13" s="2" t="s">
        <v>151</v>
      </c>
      <c r="D13" s="2" t="s">
        <v>164</v>
      </c>
      <c r="E13" s="2" t="s">
        <v>165</v>
      </c>
      <c r="F13" s="2" t="s">
        <v>166</v>
      </c>
      <c r="G13" s="35" t="s">
        <v>135</v>
      </c>
    </row>
    <row r="14" spans="2:7" ht="46.8" x14ac:dyDescent="0.3">
      <c r="B14" s="2">
        <v>12</v>
      </c>
      <c r="C14" s="2" t="s">
        <v>167</v>
      </c>
      <c r="D14" s="2" t="s">
        <v>168</v>
      </c>
      <c r="E14" s="2" t="s">
        <v>169</v>
      </c>
      <c r="F14" s="2" t="s">
        <v>170</v>
      </c>
      <c r="G14" s="35" t="s">
        <v>135</v>
      </c>
    </row>
    <row r="15" spans="2:7" ht="18" x14ac:dyDescent="0.3">
      <c r="B15" s="2">
        <v>13</v>
      </c>
      <c r="C15" s="2" t="s">
        <v>167</v>
      </c>
      <c r="D15" s="2" t="s">
        <v>171</v>
      </c>
      <c r="E15" s="2" t="s">
        <v>172</v>
      </c>
      <c r="F15" s="2" t="s">
        <v>173</v>
      </c>
      <c r="G15" s="35" t="s">
        <v>135</v>
      </c>
    </row>
    <row r="16" spans="2:7" ht="18" x14ac:dyDescent="0.3">
      <c r="B16" s="2">
        <v>14</v>
      </c>
      <c r="C16" s="2" t="s">
        <v>167</v>
      </c>
      <c r="D16" s="2" t="s">
        <v>174</v>
      </c>
      <c r="E16" s="2" t="s">
        <v>175</v>
      </c>
      <c r="F16" s="2" t="s">
        <v>176</v>
      </c>
      <c r="G16" s="35" t="s">
        <v>135</v>
      </c>
    </row>
    <row r="17" spans="2:7" ht="18" x14ac:dyDescent="0.3">
      <c r="B17" s="2">
        <v>15</v>
      </c>
      <c r="C17" s="2" t="s">
        <v>167</v>
      </c>
      <c r="D17" s="2" t="s">
        <v>177</v>
      </c>
      <c r="E17" s="2" t="s">
        <v>178</v>
      </c>
      <c r="F17" s="2" t="s">
        <v>179</v>
      </c>
      <c r="G17" s="35" t="s">
        <v>147</v>
      </c>
    </row>
    <row r="18" spans="2:7" ht="31.2" x14ac:dyDescent="0.3">
      <c r="B18" s="2">
        <v>16</v>
      </c>
      <c r="C18" s="2" t="s">
        <v>180</v>
      </c>
      <c r="D18" s="2" t="s">
        <v>181</v>
      </c>
      <c r="E18" s="2" t="s">
        <v>182</v>
      </c>
      <c r="F18" s="2" t="s">
        <v>183</v>
      </c>
      <c r="G18" s="35" t="s">
        <v>135</v>
      </c>
    </row>
    <row r="19" spans="2:7" ht="18" x14ac:dyDescent="0.3">
      <c r="B19" s="2">
        <v>17</v>
      </c>
      <c r="C19" s="2" t="s">
        <v>180</v>
      </c>
      <c r="D19" s="2" t="s">
        <v>184</v>
      </c>
      <c r="E19" s="2" t="s">
        <v>185</v>
      </c>
      <c r="F19" s="2" t="s">
        <v>186</v>
      </c>
      <c r="G19" s="35" t="s">
        <v>135</v>
      </c>
    </row>
    <row r="20" spans="2:7" ht="18" x14ac:dyDescent="0.3">
      <c r="B20" s="2">
        <v>18</v>
      </c>
      <c r="C20" s="2" t="s">
        <v>180</v>
      </c>
      <c r="D20" s="2" t="s">
        <v>187</v>
      </c>
      <c r="E20" s="2" t="s">
        <v>188</v>
      </c>
      <c r="F20" s="2" t="s">
        <v>189</v>
      </c>
      <c r="G20" s="35" t="s">
        <v>147</v>
      </c>
    </row>
    <row r="21" spans="2:7" ht="18" x14ac:dyDescent="0.3">
      <c r="B21" s="2">
        <v>19</v>
      </c>
      <c r="C21" s="2" t="s">
        <v>180</v>
      </c>
      <c r="D21" s="2" t="s">
        <v>190</v>
      </c>
      <c r="E21" s="2" t="s">
        <v>191</v>
      </c>
      <c r="F21" s="2" t="s">
        <v>192</v>
      </c>
      <c r="G21" s="35" t="s">
        <v>147</v>
      </c>
    </row>
    <row r="22" spans="2:7" ht="31.2" x14ac:dyDescent="0.3">
      <c r="B22" s="2">
        <v>20</v>
      </c>
      <c r="C22" s="2" t="s">
        <v>193</v>
      </c>
      <c r="D22" s="2" t="s">
        <v>194</v>
      </c>
      <c r="E22" s="2" t="s">
        <v>195</v>
      </c>
      <c r="F22" s="2" t="s">
        <v>196</v>
      </c>
      <c r="G22" s="35" t="s">
        <v>135</v>
      </c>
    </row>
    <row r="23" spans="2:7" ht="31.2" x14ac:dyDescent="0.3">
      <c r="B23" s="2">
        <v>21</v>
      </c>
      <c r="C23" s="2" t="s">
        <v>193</v>
      </c>
      <c r="D23" s="2" t="s">
        <v>197</v>
      </c>
      <c r="E23" s="2" t="s">
        <v>198</v>
      </c>
      <c r="F23" s="2" t="s">
        <v>199</v>
      </c>
      <c r="G23" s="35" t="s">
        <v>135</v>
      </c>
    </row>
    <row r="24" spans="2:7" ht="18" x14ac:dyDescent="0.3">
      <c r="B24" s="2">
        <v>22</v>
      </c>
      <c r="C24" s="2" t="s">
        <v>193</v>
      </c>
      <c r="D24" s="2" t="s">
        <v>200</v>
      </c>
      <c r="E24" s="2" t="s">
        <v>201</v>
      </c>
      <c r="F24" s="2" t="s">
        <v>202</v>
      </c>
      <c r="G24" s="35" t="s">
        <v>135</v>
      </c>
    </row>
    <row r="25" spans="2:7" ht="31.2" x14ac:dyDescent="0.3">
      <c r="B25" s="2">
        <v>23</v>
      </c>
      <c r="C25" s="2" t="s">
        <v>193</v>
      </c>
      <c r="D25" s="2" t="s">
        <v>203</v>
      </c>
      <c r="E25" s="2" t="s">
        <v>204</v>
      </c>
      <c r="F25" s="2" t="s">
        <v>205</v>
      </c>
      <c r="G25" s="35" t="s">
        <v>147</v>
      </c>
    </row>
    <row r="26" spans="2:7" ht="18" x14ac:dyDescent="0.3">
      <c r="B26" s="2">
        <v>24</v>
      </c>
      <c r="C26" s="2" t="s">
        <v>193</v>
      </c>
      <c r="D26" s="2" t="s">
        <v>206</v>
      </c>
      <c r="E26" s="2" t="s">
        <v>207</v>
      </c>
      <c r="F26" s="2" t="s">
        <v>208</v>
      </c>
      <c r="G26" s="35" t="s">
        <v>147</v>
      </c>
    </row>
    <row r="27" spans="2:7" ht="18" x14ac:dyDescent="0.3">
      <c r="B27" s="2">
        <v>25</v>
      </c>
      <c r="C27" s="2" t="s">
        <v>209</v>
      </c>
      <c r="D27" s="2" t="s">
        <v>210</v>
      </c>
      <c r="E27" s="2" t="s">
        <v>211</v>
      </c>
      <c r="F27" s="2" t="s">
        <v>212</v>
      </c>
      <c r="G27" s="35" t="s">
        <v>135</v>
      </c>
    </row>
    <row r="28" spans="2:7" ht="46.8" x14ac:dyDescent="0.3">
      <c r="B28" s="2">
        <v>26</v>
      </c>
      <c r="C28" s="2" t="s">
        <v>209</v>
      </c>
      <c r="D28" s="2" t="s">
        <v>213</v>
      </c>
      <c r="E28" s="2" t="s">
        <v>214</v>
      </c>
      <c r="F28" s="2" t="s">
        <v>215</v>
      </c>
      <c r="G28" s="35" t="s">
        <v>135</v>
      </c>
    </row>
    <row r="29" spans="2:7" ht="18" x14ac:dyDescent="0.3">
      <c r="B29" s="2">
        <v>27</v>
      </c>
      <c r="C29" s="2" t="s">
        <v>209</v>
      </c>
      <c r="D29" s="2" t="s">
        <v>216</v>
      </c>
      <c r="E29" s="2" t="s">
        <v>217</v>
      </c>
      <c r="F29" s="2" t="s">
        <v>218</v>
      </c>
      <c r="G29" s="35" t="s">
        <v>135</v>
      </c>
    </row>
    <row r="30" spans="2:7" ht="31.2" x14ac:dyDescent="0.3">
      <c r="B30" s="2">
        <v>28</v>
      </c>
      <c r="C30" s="2" t="s">
        <v>209</v>
      </c>
      <c r="D30" s="2" t="s">
        <v>219</v>
      </c>
      <c r="E30" s="2" t="s">
        <v>220</v>
      </c>
      <c r="F30" s="2" t="s">
        <v>221</v>
      </c>
      <c r="G30" s="35" t="s">
        <v>147</v>
      </c>
    </row>
    <row r="31" spans="2:7" ht="31.2" x14ac:dyDescent="0.3">
      <c r="B31" s="2">
        <v>29</v>
      </c>
      <c r="C31" s="2" t="s">
        <v>222</v>
      </c>
      <c r="D31" s="2" t="s">
        <v>223</v>
      </c>
      <c r="E31" s="2" t="s">
        <v>224</v>
      </c>
      <c r="F31" s="2" t="s">
        <v>225</v>
      </c>
      <c r="G31" s="35" t="s">
        <v>135</v>
      </c>
    </row>
    <row r="32" spans="2:7" ht="18" x14ac:dyDescent="0.3">
      <c r="B32" s="2">
        <v>30</v>
      </c>
      <c r="C32" s="2" t="s">
        <v>222</v>
      </c>
      <c r="D32" s="2" t="s">
        <v>226</v>
      </c>
      <c r="E32" s="2" t="s">
        <v>227</v>
      </c>
      <c r="F32" s="2" t="s">
        <v>228</v>
      </c>
      <c r="G32" s="35" t="s">
        <v>135</v>
      </c>
    </row>
    <row r="33" spans="2:7" ht="18" x14ac:dyDescent="0.3">
      <c r="B33" s="2">
        <v>31</v>
      </c>
      <c r="C33" s="2" t="s">
        <v>222</v>
      </c>
      <c r="D33" s="2" t="s">
        <v>229</v>
      </c>
      <c r="E33" s="2" t="s">
        <v>230</v>
      </c>
      <c r="F33" s="2" t="s">
        <v>231</v>
      </c>
      <c r="G33" s="35" t="s">
        <v>135</v>
      </c>
    </row>
    <row r="34" spans="2:7" ht="31.2" x14ac:dyDescent="0.3">
      <c r="B34" s="2">
        <v>32</v>
      </c>
      <c r="C34" s="2" t="s">
        <v>222</v>
      </c>
      <c r="D34" s="2" t="s">
        <v>232</v>
      </c>
      <c r="E34" s="2" t="s">
        <v>233</v>
      </c>
      <c r="F34" s="2" t="s">
        <v>234</v>
      </c>
      <c r="G34" s="35" t="s">
        <v>135</v>
      </c>
    </row>
    <row r="35" spans="2:7" ht="31.2" x14ac:dyDescent="0.3">
      <c r="B35" s="2">
        <v>33</v>
      </c>
      <c r="C35" s="2" t="s">
        <v>235</v>
      </c>
      <c r="D35" s="2" t="s">
        <v>236</v>
      </c>
      <c r="E35" s="2" t="s">
        <v>237</v>
      </c>
      <c r="F35" s="2" t="s">
        <v>238</v>
      </c>
      <c r="G35" s="35" t="s">
        <v>135</v>
      </c>
    </row>
    <row r="36" spans="2:7" ht="31.2" x14ac:dyDescent="0.3">
      <c r="B36" s="2">
        <v>34</v>
      </c>
      <c r="C36" s="2" t="s">
        <v>235</v>
      </c>
      <c r="D36" s="2" t="s">
        <v>239</v>
      </c>
      <c r="E36" s="2" t="s">
        <v>240</v>
      </c>
      <c r="F36" s="2" t="s">
        <v>241</v>
      </c>
      <c r="G36" s="35" t="s">
        <v>147</v>
      </c>
    </row>
    <row r="37" spans="2:7" ht="31.2" x14ac:dyDescent="0.3">
      <c r="B37" s="2">
        <v>35</v>
      </c>
      <c r="C37" s="2" t="s">
        <v>235</v>
      </c>
      <c r="D37" s="2" t="s">
        <v>242</v>
      </c>
      <c r="E37" s="2" t="s">
        <v>243</v>
      </c>
      <c r="F37" s="2" t="s">
        <v>244</v>
      </c>
      <c r="G37" s="35" t="s">
        <v>135</v>
      </c>
    </row>
    <row r="38" spans="2:7" ht="31.2" x14ac:dyDescent="0.3">
      <c r="B38" s="2">
        <v>36</v>
      </c>
      <c r="C38" s="2" t="s">
        <v>235</v>
      </c>
      <c r="D38" s="2" t="s">
        <v>245</v>
      </c>
      <c r="E38" s="2" t="s">
        <v>246</v>
      </c>
      <c r="F38" s="2" t="s">
        <v>247</v>
      </c>
      <c r="G38" s="35" t="s">
        <v>147</v>
      </c>
    </row>
    <row r="39" spans="2:7" ht="31.2" x14ac:dyDescent="0.3">
      <c r="B39" s="2">
        <v>37</v>
      </c>
      <c r="C39" s="2" t="s">
        <v>248</v>
      </c>
      <c r="D39" s="2" t="s">
        <v>249</v>
      </c>
      <c r="E39" s="2" t="s">
        <v>250</v>
      </c>
      <c r="F39" s="2" t="s">
        <v>251</v>
      </c>
      <c r="G39" s="35" t="s">
        <v>135</v>
      </c>
    </row>
    <row r="40" spans="2:7" ht="31.2" x14ac:dyDescent="0.3">
      <c r="B40" s="2">
        <v>38</v>
      </c>
      <c r="C40" s="2" t="s">
        <v>248</v>
      </c>
      <c r="D40" s="2" t="s">
        <v>252</v>
      </c>
      <c r="E40" s="2" t="s">
        <v>253</v>
      </c>
      <c r="F40" s="2" t="s">
        <v>254</v>
      </c>
      <c r="G40" s="35" t="s">
        <v>147</v>
      </c>
    </row>
    <row r="41" spans="2:7" ht="31.2" x14ac:dyDescent="0.3">
      <c r="B41" s="2">
        <v>39</v>
      </c>
      <c r="C41" s="2" t="s">
        <v>248</v>
      </c>
      <c r="D41" s="2" t="s">
        <v>255</v>
      </c>
      <c r="E41" s="2" t="s">
        <v>256</v>
      </c>
      <c r="F41" s="2" t="s">
        <v>257</v>
      </c>
      <c r="G41" s="35" t="s">
        <v>135</v>
      </c>
    </row>
    <row r="42" spans="2:7" ht="31.2" x14ac:dyDescent="0.3">
      <c r="B42" s="2">
        <v>40</v>
      </c>
      <c r="C42" s="2" t="s">
        <v>248</v>
      </c>
      <c r="D42" s="2" t="s">
        <v>258</v>
      </c>
      <c r="E42" s="2" t="s">
        <v>259</v>
      </c>
      <c r="F42" s="2" t="s">
        <v>260</v>
      </c>
      <c r="G42" s="35" t="s">
        <v>135</v>
      </c>
    </row>
    <row r="43" spans="2:7" ht="18" x14ac:dyDescent="0.3">
      <c r="B43" s="2">
        <v>41</v>
      </c>
      <c r="C43" s="2" t="s">
        <v>261</v>
      </c>
      <c r="D43" s="2" t="s">
        <v>262</v>
      </c>
      <c r="E43" s="2" t="s">
        <v>263</v>
      </c>
      <c r="F43" s="2" t="s">
        <v>264</v>
      </c>
      <c r="G43" s="35" t="s">
        <v>147</v>
      </c>
    </row>
    <row r="44" spans="2:7" ht="31.2" x14ac:dyDescent="0.3">
      <c r="B44" s="2">
        <v>42</v>
      </c>
      <c r="C44" s="2" t="s">
        <v>261</v>
      </c>
      <c r="D44" s="2" t="s">
        <v>265</v>
      </c>
      <c r="E44" s="2" t="s">
        <v>266</v>
      </c>
      <c r="F44" s="2" t="s">
        <v>267</v>
      </c>
      <c r="G44" s="35" t="s">
        <v>135</v>
      </c>
    </row>
    <row r="45" spans="2:7" ht="46.8" x14ac:dyDescent="0.3">
      <c r="B45" s="2">
        <v>43</v>
      </c>
      <c r="C45" s="2" t="s">
        <v>261</v>
      </c>
      <c r="D45" s="2" t="s">
        <v>268</v>
      </c>
      <c r="E45" s="2" t="s">
        <v>269</v>
      </c>
      <c r="F45" s="2" t="s">
        <v>270</v>
      </c>
      <c r="G45" s="35" t="s">
        <v>147</v>
      </c>
    </row>
    <row r="46" spans="2:7" ht="31.2" x14ac:dyDescent="0.3">
      <c r="B46" s="2">
        <v>44</v>
      </c>
      <c r="C46" s="2" t="s">
        <v>261</v>
      </c>
      <c r="D46" s="2" t="s">
        <v>271</v>
      </c>
      <c r="E46" s="2" t="s">
        <v>272</v>
      </c>
      <c r="F46" s="2" t="s">
        <v>273</v>
      </c>
      <c r="G46" s="35" t="s">
        <v>135</v>
      </c>
    </row>
    <row r="47" spans="2:7" ht="31.2" x14ac:dyDescent="0.3">
      <c r="B47" s="2">
        <v>45</v>
      </c>
      <c r="C47" s="2" t="s">
        <v>261</v>
      </c>
      <c r="D47" s="2" t="s">
        <v>274</v>
      </c>
      <c r="E47" s="2" t="s">
        <v>169</v>
      </c>
      <c r="F47" s="2" t="s">
        <v>275</v>
      </c>
      <c r="G47" s="35" t="s">
        <v>147</v>
      </c>
    </row>
    <row r="48" spans="2:7" ht="18" x14ac:dyDescent="0.3">
      <c r="B48" s="2">
        <v>46</v>
      </c>
      <c r="C48" s="2" t="s">
        <v>276</v>
      </c>
      <c r="D48" s="2" t="s">
        <v>277</v>
      </c>
      <c r="E48" s="2" t="s">
        <v>278</v>
      </c>
      <c r="F48" s="2" t="s">
        <v>279</v>
      </c>
      <c r="G48" s="35" t="s">
        <v>135</v>
      </c>
    </row>
    <row r="49" spans="2:7" ht="18" x14ac:dyDescent="0.3">
      <c r="B49" s="2">
        <v>47</v>
      </c>
      <c r="C49" s="2" t="s">
        <v>276</v>
      </c>
      <c r="D49" s="2" t="s">
        <v>280</v>
      </c>
      <c r="E49" s="2" t="s">
        <v>281</v>
      </c>
      <c r="F49" s="2" t="s">
        <v>282</v>
      </c>
      <c r="G49" s="35" t="s">
        <v>135</v>
      </c>
    </row>
    <row r="50" spans="2:7" ht="18" x14ac:dyDescent="0.3">
      <c r="B50" s="2">
        <v>48</v>
      </c>
      <c r="C50" s="2" t="s">
        <v>276</v>
      </c>
      <c r="D50" s="2" t="s">
        <v>283</v>
      </c>
      <c r="E50" s="2" t="s">
        <v>284</v>
      </c>
      <c r="F50" s="2" t="s">
        <v>285</v>
      </c>
      <c r="G50" s="35" t="s">
        <v>147</v>
      </c>
    </row>
    <row r="51" spans="2:7" ht="18" x14ac:dyDescent="0.3">
      <c r="B51" s="2">
        <v>49</v>
      </c>
      <c r="C51" s="2" t="s">
        <v>276</v>
      </c>
      <c r="D51" s="2" t="s">
        <v>286</v>
      </c>
      <c r="E51" s="2" t="s">
        <v>287</v>
      </c>
      <c r="F51" s="2" t="s">
        <v>288</v>
      </c>
      <c r="G51" s="35" t="s">
        <v>135</v>
      </c>
    </row>
    <row r="52" spans="2:7" ht="31.2" x14ac:dyDescent="0.3">
      <c r="B52" s="2">
        <v>50</v>
      </c>
      <c r="C52" s="2" t="s">
        <v>276</v>
      </c>
      <c r="D52" s="2" t="s">
        <v>289</v>
      </c>
      <c r="E52" s="2" t="s">
        <v>290</v>
      </c>
      <c r="F52" s="2" t="s">
        <v>291</v>
      </c>
      <c r="G52" s="35" t="s">
        <v>135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11A4-7FC6-4983-9477-2D2B579770BC}">
  <dimension ref="B2:D18"/>
  <sheetViews>
    <sheetView workbookViewId="0">
      <selection activeCell="B18" sqref="B18"/>
    </sheetView>
  </sheetViews>
  <sheetFormatPr baseColWidth="10" defaultRowHeight="14.4" x14ac:dyDescent="0.3"/>
  <cols>
    <col min="2" max="2" width="22.33203125" customWidth="1"/>
    <col min="3" max="3" width="35.33203125" customWidth="1"/>
    <col min="4" max="4" width="51.77734375" customWidth="1"/>
  </cols>
  <sheetData>
    <row r="2" spans="2:4" ht="15" thickBot="1" x14ac:dyDescent="0.35"/>
    <row r="3" spans="2:4" ht="16.2" thickBot="1" x14ac:dyDescent="0.35">
      <c r="B3" s="1" t="s">
        <v>292</v>
      </c>
      <c r="C3" s="1" t="s">
        <v>293</v>
      </c>
      <c r="D3" s="1" t="s">
        <v>294</v>
      </c>
    </row>
    <row r="4" spans="2:4" ht="31.8" thickBot="1" x14ac:dyDescent="0.35">
      <c r="B4" s="1" t="s">
        <v>295</v>
      </c>
      <c r="C4" s="1" t="s">
        <v>296</v>
      </c>
      <c r="D4" s="1" t="s">
        <v>297</v>
      </c>
    </row>
    <row r="5" spans="2:4" ht="31.8" thickBot="1" x14ac:dyDescent="0.35">
      <c r="B5" s="1" t="s">
        <v>298</v>
      </c>
      <c r="C5" s="1" t="s">
        <v>299</v>
      </c>
      <c r="D5" s="1" t="s">
        <v>300</v>
      </c>
    </row>
    <row r="6" spans="2:4" ht="31.8" thickBot="1" x14ac:dyDescent="0.35">
      <c r="B6" s="1" t="s">
        <v>301</v>
      </c>
      <c r="C6" s="1" t="s">
        <v>302</v>
      </c>
      <c r="D6" s="1" t="s">
        <v>303</v>
      </c>
    </row>
    <row r="7" spans="2:4" ht="31.8" thickBot="1" x14ac:dyDescent="0.35">
      <c r="B7" s="1" t="s">
        <v>304</v>
      </c>
      <c r="C7" s="1" t="s">
        <v>305</v>
      </c>
      <c r="D7" s="1" t="s">
        <v>306</v>
      </c>
    </row>
    <row r="8" spans="2:4" ht="16.2" thickBot="1" x14ac:dyDescent="0.35">
      <c r="B8" s="1" t="s">
        <v>307</v>
      </c>
      <c r="C8" s="1" t="s">
        <v>308</v>
      </c>
      <c r="D8" s="1" t="s">
        <v>309</v>
      </c>
    </row>
    <row r="9" spans="2:4" ht="16.2" thickBot="1" x14ac:dyDescent="0.35">
      <c r="B9" s="1" t="s">
        <v>310</v>
      </c>
      <c r="C9" s="1" t="s">
        <v>311</v>
      </c>
      <c r="D9" s="1" t="s">
        <v>312</v>
      </c>
    </row>
    <row r="10" spans="2:4" ht="16.2" thickBot="1" x14ac:dyDescent="0.35">
      <c r="B10" s="1" t="s">
        <v>313</v>
      </c>
      <c r="C10" s="1" t="s">
        <v>314</v>
      </c>
      <c r="D10" s="1" t="s">
        <v>315</v>
      </c>
    </row>
    <row r="11" spans="2:4" ht="16.2" thickBot="1" x14ac:dyDescent="0.35">
      <c r="B11" s="1" t="s">
        <v>316</v>
      </c>
      <c r="C11" s="1" t="s">
        <v>317</v>
      </c>
      <c r="D11" s="1" t="s">
        <v>318</v>
      </c>
    </row>
    <row r="12" spans="2:4" ht="16.2" thickBot="1" x14ac:dyDescent="0.35">
      <c r="B12" s="1" t="s">
        <v>319</v>
      </c>
      <c r="C12" s="1" t="s">
        <v>320</v>
      </c>
      <c r="D12" s="1" t="s">
        <v>321</v>
      </c>
    </row>
    <row r="13" spans="2:4" ht="16.2" thickBot="1" x14ac:dyDescent="0.35">
      <c r="B13" s="1" t="s">
        <v>322</v>
      </c>
      <c r="C13" s="1" t="s">
        <v>323</v>
      </c>
      <c r="D13" s="1" t="s">
        <v>324</v>
      </c>
    </row>
    <row r="14" spans="2:4" ht="31.8" thickBot="1" x14ac:dyDescent="0.35">
      <c r="B14" s="1" t="s">
        <v>325</v>
      </c>
      <c r="C14" s="1" t="s">
        <v>326</v>
      </c>
      <c r="D14" s="1" t="s">
        <v>327</v>
      </c>
    </row>
    <row r="15" spans="2:4" ht="31.8" thickBot="1" x14ac:dyDescent="0.35">
      <c r="B15" s="1" t="s">
        <v>328</v>
      </c>
      <c r="C15" s="1" t="s">
        <v>329</v>
      </c>
      <c r="D15" s="1" t="s">
        <v>330</v>
      </c>
    </row>
    <row r="16" spans="2:4" ht="16.2" thickBot="1" x14ac:dyDescent="0.35">
      <c r="B16" s="1" t="s">
        <v>331</v>
      </c>
      <c r="C16" s="1" t="s">
        <v>332</v>
      </c>
      <c r="D16" s="1" t="s">
        <v>333</v>
      </c>
    </row>
    <row r="17" spans="2:4" ht="31.8" thickBot="1" x14ac:dyDescent="0.35">
      <c r="B17" s="1" t="s">
        <v>334</v>
      </c>
      <c r="C17" s="1" t="s">
        <v>335</v>
      </c>
      <c r="D17" s="1" t="s">
        <v>336</v>
      </c>
    </row>
    <row r="18" spans="2:4" ht="16.2" thickBot="1" x14ac:dyDescent="0.35">
      <c r="B18" s="1" t="s">
        <v>337</v>
      </c>
      <c r="C18" s="1" t="s">
        <v>338</v>
      </c>
      <c r="D18" s="1" t="s">
        <v>339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5F90-E4F8-4EDD-B4EF-E708D4D62820}">
  <dimension ref="B2:B30"/>
  <sheetViews>
    <sheetView topLeftCell="A3" workbookViewId="0">
      <selection activeCell="B4" sqref="B4:B29"/>
    </sheetView>
  </sheetViews>
  <sheetFormatPr baseColWidth="10" defaultRowHeight="14.4" x14ac:dyDescent="0.3"/>
  <cols>
    <col min="2" max="2" width="50" customWidth="1"/>
  </cols>
  <sheetData>
    <row r="2" spans="2:2" ht="18" x14ac:dyDescent="0.3">
      <c r="B2" s="36" t="s">
        <v>348</v>
      </c>
    </row>
    <row r="3" spans="2:2" x14ac:dyDescent="0.3">
      <c r="B3" s="37"/>
    </row>
    <row r="4" spans="2:2" x14ac:dyDescent="0.3">
      <c r="B4" s="37"/>
    </row>
    <row r="5" spans="2:2" x14ac:dyDescent="0.3">
      <c r="B5" s="39" t="s">
        <v>341</v>
      </c>
    </row>
    <row r="6" spans="2:2" x14ac:dyDescent="0.3">
      <c r="B6" s="40" t="s">
        <v>342</v>
      </c>
    </row>
    <row r="7" spans="2:2" x14ac:dyDescent="0.3">
      <c r="B7" s="40"/>
    </row>
    <row r="8" spans="2:2" ht="28.8" x14ac:dyDescent="0.3">
      <c r="B8" s="39" t="s">
        <v>343</v>
      </c>
    </row>
    <row r="9" spans="2:2" x14ac:dyDescent="0.3">
      <c r="B9" s="40" t="s">
        <v>342</v>
      </c>
    </row>
    <row r="10" spans="2:2" x14ac:dyDescent="0.3">
      <c r="B10" s="40"/>
    </row>
    <row r="11" spans="2:2" x14ac:dyDescent="0.3">
      <c r="B11" s="39" t="s">
        <v>344</v>
      </c>
    </row>
    <row r="12" spans="2:2" x14ac:dyDescent="0.3">
      <c r="B12" s="40" t="s">
        <v>342</v>
      </c>
    </row>
    <row r="13" spans="2:2" x14ac:dyDescent="0.3">
      <c r="B13" s="40"/>
    </row>
    <row r="14" spans="2:2" ht="28.8" x14ac:dyDescent="0.3">
      <c r="B14" s="39" t="s">
        <v>345</v>
      </c>
    </row>
    <row r="15" spans="2:2" x14ac:dyDescent="0.3">
      <c r="B15" s="40" t="s">
        <v>342</v>
      </c>
    </row>
    <row r="16" spans="2:2" x14ac:dyDescent="0.3">
      <c r="B16" s="40"/>
    </row>
    <row r="17" spans="2:2" x14ac:dyDescent="0.3">
      <c r="B17" s="39" t="s">
        <v>346</v>
      </c>
    </row>
    <row r="18" spans="2:2" x14ac:dyDescent="0.3">
      <c r="B18" s="40" t="s">
        <v>342</v>
      </c>
    </row>
    <row r="19" spans="2:2" x14ac:dyDescent="0.3">
      <c r="B19" s="40"/>
    </row>
    <row r="20" spans="2:2" x14ac:dyDescent="0.3">
      <c r="B20" s="39" t="s">
        <v>209</v>
      </c>
    </row>
    <row r="21" spans="2:2" x14ac:dyDescent="0.3">
      <c r="B21" s="40" t="s">
        <v>342</v>
      </c>
    </row>
    <row r="22" spans="2:2" x14ac:dyDescent="0.3">
      <c r="B22" s="40"/>
    </row>
    <row r="23" spans="2:2" x14ac:dyDescent="0.3">
      <c r="B23" s="39" t="s">
        <v>250</v>
      </c>
    </row>
    <row r="24" spans="2:2" x14ac:dyDescent="0.3">
      <c r="B24" s="40" t="s">
        <v>342</v>
      </c>
    </row>
    <row r="25" spans="2:2" x14ac:dyDescent="0.3">
      <c r="B25" s="40"/>
    </row>
    <row r="26" spans="2:2" x14ac:dyDescent="0.3">
      <c r="B26" s="39" t="s">
        <v>237</v>
      </c>
    </row>
    <row r="27" spans="2:2" x14ac:dyDescent="0.3">
      <c r="B27" s="40" t="s">
        <v>342</v>
      </c>
    </row>
    <row r="28" spans="2:2" x14ac:dyDescent="0.3">
      <c r="B28" s="40"/>
    </row>
    <row r="29" spans="2:2" ht="46.8" x14ac:dyDescent="0.3">
      <c r="B29" s="38" t="s">
        <v>347</v>
      </c>
    </row>
    <row r="30" spans="2:2" x14ac:dyDescent="0.3">
      <c r="B30" s="40" t="s">
        <v>342</v>
      </c>
    </row>
  </sheetData>
  <hyperlinks>
    <hyperlink ref="B5" r:id="rId1" display="https://briloerp.com/modulo-de-ventas/" xr:uid="{8DC8CA40-9B13-4F61-91F6-06933E55B4C2}"/>
    <hyperlink ref="B8" r:id="rId2" display="https://briloerp.com/modulo-de-cuentas-por-cobrar/" xr:uid="{5112CE87-D887-44B5-817C-CD4442E2F07E}"/>
    <hyperlink ref="B11" r:id="rId3" display="https://briloerp.com/modulo-de-compras/" xr:uid="{9A6D00BC-D1CE-4EAD-A079-01AD67E2E326}"/>
    <hyperlink ref="B14" r:id="rId4" display="https://briloerp.com/modulo-cuentas-por-pagar/" xr:uid="{D003F5F6-EB09-40A2-944C-6EEE5057D324}"/>
    <hyperlink ref="B17" r:id="rId5" display="https://briloerp.com/modulo-bancos/" xr:uid="{BB90EBD2-2F66-473A-AB15-182DDBC0835B}"/>
    <hyperlink ref="B20" r:id="rId6" display="https://briloerp.com/recursos-humanos/" xr:uid="{DDFEA26F-1F49-43EF-B1DE-028112DA7833}"/>
    <hyperlink ref="B23" r:id="rId7" display="https://briloerp.com/contabilidad-general/" xr:uid="{A5F9E28A-6223-4626-A0A5-D0D2AFEB7DBF}"/>
    <hyperlink ref="B26" r:id="rId8" display="https://briloerp.com/modulo-inventario/" xr:uid="{330CC949-8090-4472-96A1-BEF81183D23D}"/>
  </hyperlinks>
  <pageMargins left="0.7" right="0.7" top="0.75" bottom="0.75" header="0.3" footer="0.3"/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Matriz Evolutiva Operativa</vt:lpstr>
      <vt:lpstr>Modulos</vt:lpstr>
      <vt:lpstr>Paquetes y Licencias</vt:lpstr>
      <vt:lpstr>Hoja6</vt:lpstr>
      <vt:lpstr>Hoja7</vt:lpstr>
      <vt:lpstr>Brilo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Emilio Belismelis</cp:lastModifiedBy>
  <dcterms:created xsi:type="dcterms:W3CDTF">2026-09-19T19:45:38Z</dcterms:created>
  <dcterms:modified xsi:type="dcterms:W3CDTF">2026-09-19T23:54:45Z</dcterms:modified>
</cp:coreProperties>
</file>