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xmlns:r="http://schemas.openxmlformats.org/officeDocument/2006/relationships" name="Matriz Evolutiva Operativa" sheetId="1" state="visible" r:id="rId1"/>
    <sheet xmlns:r="http://schemas.openxmlformats.org/officeDocument/2006/relationships" name="Modulos" sheetId="2" state="visible" r:id="rId2"/>
    <sheet xmlns:r="http://schemas.openxmlformats.org/officeDocument/2006/relationships" name="Paquetes y Licencias" sheetId="3" state="visible" r:id="rId3"/>
    <sheet xmlns:r="http://schemas.openxmlformats.org/officeDocument/2006/relationships" name="Hoja6" sheetId="4" state="visible" r:id="rId4"/>
    <sheet xmlns:r="http://schemas.openxmlformats.org/officeDocument/2006/relationships" name="Hoja7" sheetId="5" state="visible" r:id="rId5"/>
    <sheet xmlns:r="http://schemas.openxmlformats.org/officeDocument/2006/relationships" name="Brilo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* #,##0.00_-;\-&quot;$&quot;* #,##0.00_-;_-&quot;$&quot;* &quot;-&quot;??_-;_-@_-"/>
  </numFmts>
  <fonts count="25">
    <font>
      <name val="Calibri"/>
      <family val="2"/>
      <color theme="1"/>
      <sz val="11"/>
      <scheme val="minor"/>
    </font>
    <font>
      <name val="Arial"/>
      <b val="1"/>
      <color rgb="FF333333"/>
      <sz val="16"/>
    </font>
    <font>
      <name val="Arial"/>
      <b val="1"/>
      <color rgb="FFFFFFFF"/>
      <sz val="11"/>
    </font>
    <font>
      <name val="Arial"/>
      <sz val="10"/>
    </font>
    <font>
      <name val="Calibri"/>
      <family val="2"/>
      <color theme="1"/>
      <sz val="11"/>
      <scheme val="minor"/>
    </font>
    <font>
      <name val="Aptos"/>
      <family val="2"/>
      <b val="1"/>
      <color theme="1"/>
      <sz val="12"/>
    </font>
    <font>
      <name val="Calibri"/>
      <family val="2"/>
      <color theme="10"/>
      <sz val="11"/>
      <u val="single"/>
      <scheme val="minor"/>
    </font>
    <font>
      <name val="Segoe UI"/>
      <family val="2"/>
      <b val="1"/>
      <sz val="10"/>
    </font>
    <font>
      <name val="Segoe UI"/>
      <family val="2"/>
      <sz val="10"/>
    </font>
    <font>
      <name val="Calibri"/>
      <family val="2"/>
      <sz val="11"/>
      <scheme val="minor"/>
    </font>
    <font>
      <name val="Segoe UI"/>
      <family val="2"/>
      <sz val="11"/>
    </font>
    <font>
      <name val="Segoe UI"/>
      <family val="2"/>
      <sz val="11"/>
    </font>
    <font>
      <name val="Segoe UI"/>
      <family val="2"/>
      <i val="1"/>
      <sz val="11"/>
    </font>
    <font>
      <name val="Segoe UI"/>
      <family val="2"/>
      <sz val="11"/>
    </font>
    <font>
      <name val="Segoe UI"/>
      <family val="2"/>
      <sz val="8"/>
    </font>
    <font>
      <name val="Segoe UI"/>
      <family val="2"/>
      <sz val="8"/>
    </font>
    <font>
      <name val="Segoe UI"/>
      <family val="2"/>
      <i val="1"/>
      <sz val="8"/>
    </font>
    <font>
      <name val="Segoe UI"/>
      <family val="2"/>
      <sz val="10"/>
    </font>
    <font>
      <name val="Segoe UI Emoji"/>
      <family val="2"/>
      <b val="1"/>
      <color theme="1"/>
      <sz val="12"/>
    </font>
    <font>
      <name val="Roboto"/>
      <family val="2"/>
      <color rgb="FF496B77"/>
      <sz val="13.5"/>
    </font>
    <font>
      <name val="Arial"/>
      <family val="2"/>
      <color rgb="FF4169E1"/>
      <sz val="10"/>
    </font>
    <font>
      <name val="Arial"/>
      <family val="2"/>
      <b val="1"/>
      <color rgb="FF496B77"/>
      <sz val="12"/>
    </font>
    <font>
      <name val="Arial"/>
      <family val="2"/>
      <color rgb="FFEE9800"/>
      <sz val="10"/>
    </font>
    <font>
      <name val="Arial"/>
      <family val="2"/>
      <b val="1"/>
      <color rgb="FFFFFFFF"/>
      <sz val="11"/>
    </font>
    <font>
      <name val="Arial"/>
      <family val="2"/>
      <sz val="10"/>
    </font>
  </fonts>
  <fills count="5">
    <fill>
      <patternFill/>
    </fill>
    <fill>
      <patternFill patternType="gray125"/>
    </fill>
    <fill>
      <patternFill patternType="solid">
        <fgColor rgb="FF464646"/>
        <bgColor rgb="FF464646"/>
      </patternFill>
    </fill>
    <fill>
      <patternFill patternType="solid">
        <fgColor rgb="FFF5F6F7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</borders>
  <cellStyleXfs count="3">
    <xf numFmtId="0" fontId="4" fillId="0" borderId="0"/>
    <xf numFmtId="44" fontId="4" fillId="0" borderId="0"/>
    <xf numFmtId="0" fontId="6" fillId="0" borderId="0"/>
  </cellStyleXfs>
  <cellXfs count="50">
    <xf numFmtId="0" fontId="0" fillId="0" borderId="0" pivotButton="0" quotePrefix="0" xfId="0"/>
    <xf numFmtId="0" fontId="5" fillId="0" borderId="2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/>
    </xf>
    <xf numFmtId="0" fontId="9" fillId="0" borderId="0" pivotButton="0" quotePrefix="0" xfId="0"/>
    <xf numFmtId="0" fontId="8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 indent="1"/>
    </xf>
    <xf numFmtId="0" fontId="15" fillId="0" borderId="0" applyAlignment="1" pivotButton="0" quotePrefix="0" xfId="0">
      <alignment vertical="center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1" fillId="0" borderId="3" applyAlignment="1" pivotButton="0" quotePrefix="0" xfId="0">
      <alignment horizontal="left" vertical="center" wrapText="1"/>
    </xf>
    <xf numFmtId="0" fontId="11" fillId="0" borderId="4" applyAlignment="1" pivotButton="0" quotePrefix="0" xfId="0">
      <alignment horizontal="left" vertical="center" wrapText="1"/>
    </xf>
    <xf numFmtId="0" fontId="11" fillId="0" borderId="5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1" fillId="0" borderId="7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left" vertical="center" wrapText="1"/>
    </xf>
    <xf numFmtId="0" fontId="13" fillId="0" borderId="7" applyAlignment="1" pivotButton="0" quotePrefix="0" xfId="0">
      <alignment horizontal="left" vertical="center" wrapText="1"/>
    </xf>
    <xf numFmtId="0" fontId="11" fillId="0" borderId="8" applyAlignment="1" pivotButton="0" quotePrefix="0" xfId="0">
      <alignment horizontal="left" vertical="center" wrapText="1"/>
    </xf>
    <xf numFmtId="0" fontId="13" fillId="0" borderId="9" applyAlignment="1" pivotButton="0" quotePrefix="0" xfId="0">
      <alignment horizontal="left" vertical="center" wrapText="1"/>
    </xf>
    <xf numFmtId="0" fontId="13" fillId="0" borderId="10" applyAlignment="1" pivotButton="0" quotePrefix="0" xfId="0">
      <alignment horizontal="left" vertical="center" wrapText="1"/>
    </xf>
    <xf numFmtId="0" fontId="10" fillId="0" borderId="11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left" vertical="center" wrapText="1"/>
    </xf>
    <xf numFmtId="0" fontId="11" fillId="0" borderId="13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164" fontId="0" fillId="0" borderId="0" pivotButton="0" quotePrefix="0" xfId="1"/>
    <xf numFmtId="164" fontId="0" fillId="0" borderId="0" pivotButton="0" quotePrefix="0" xfId="0"/>
    <xf numFmtId="0" fontId="7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/>
    </xf>
    <xf numFmtId="0" fontId="11" fillId="0" borderId="14" applyAlignment="1" pivotButton="0" quotePrefix="0" xfId="0">
      <alignment horizontal="left" vertical="top" wrapText="1"/>
    </xf>
    <xf numFmtId="0" fontId="11" fillId="0" borderId="15" applyAlignment="1" pivotButton="0" quotePrefix="0" xfId="0">
      <alignment horizontal="left" vertical="top" wrapText="1"/>
    </xf>
    <xf numFmtId="0" fontId="17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/>
    </xf>
    <xf numFmtId="0" fontId="18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 wrapText="1"/>
    </xf>
    <xf numFmtId="0" fontId="21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2">
      <alignment horizontal="center" vertical="center" wrapText="1"/>
    </xf>
    <xf numFmtId="0" fontId="22" fillId="3" borderId="0" applyAlignment="1" pivotButton="0" quotePrefix="0" xfId="0">
      <alignment vertical="center" wrapText="1"/>
    </xf>
    <xf numFmtId="0" fontId="0" fillId="4" borderId="0" pivotButton="0" quotePrefix="0" xfId="0"/>
    <xf numFmtId="0" fontId="1" fillId="0" borderId="0" applyAlignment="1" pivotButton="0" quotePrefix="0" xfId="0">
      <alignment vertical="center"/>
    </xf>
    <xf numFmtId="0" fontId="23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24" fillId="0" borderId="1" applyAlignment="1" pivotButton="0" quotePrefix="0" xfId="0">
      <alignment horizontal="left" vertical="top" wrapText="1"/>
    </xf>
    <xf numFmtId="0" fontId="11" fillId="0" borderId="6" applyAlignment="1" pivotButton="0" quotePrefix="0" xfId="0">
      <alignment horizontal="left" vertical="center" wrapText="1"/>
    </xf>
    <xf numFmtId="164" fontId="0" fillId="0" borderId="0" pivotButton="0" quotePrefix="0" xfId="1"/>
    <xf numFmtId="0" fontId="0" fillId="0" borderId="17" pivotButton="0" quotePrefix="0" xfId="0"/>
    <xf numFmtId="0" fontId="0" fillId="0" borderId="18" pivotButton="0" quotePrefix="0" xfId="0"/>
    <xf numFmtId="164" fontId="0" fillId="0" borderId="0" pivotButton="0" quotePrefix="0" xfId="0"/>
  </cellXfs>
  <cellStyles count="3">
    <cellStyle name="Normal" xfId="0" builtinId="0"/>
    <cellStyle name="Moneda" xfId="1" builtinId="4"/>
    <cellStyle name="Hipervínculo" xfId="2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3</row>
      <rowOff>0</rowOff>
    </from>
    <to>
      <col>1</col>
      <colOff>731520</colOff>
      <row>7</row>
      <rowOff>0</rowOff>
    </to>
    <pic>
      <nvPicPr>
        <cNvPr id="2" name="Imagen 1" descr="Icono de módulo de Ventas">
          <a:hlinkClick xmlns:a="http://schemas.openxmlformats.org/drawingml/2006/main" xmlns:r="http://schemas.openxmlformats.org/officeDocument/2006/relationships" r:id="rId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92480" y="822960"/>
          <a:ext cx="731520" cy="7315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6</row>
      <rowOff>0</rowOff>
    </from>
    <to>
      <col>1</col>
      <colOff>731520</colOff>
      <row>9</row>
      <rowOff>0</rowOff>
    </to>
    <pic>
      <nvPicPr>
        <cNvPr id="3" name="Imagen 2" descr="Icono de módulo de Cuentas por cobrar">
          <a:hlinkClick xmlns:a="http://schemas.openxmlformats.org/drawingml/2006/main" xmlns:r="http://schemas.openxmlformats.org/officeDocument/2006/relationships" r:id="rId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92480" y="1371600"/>
          <a:ext cx="731520" cy="7315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9</row>
      <rowOff>0</rowOff>
    </from>
    <to>
      <col>1</col>
      <colOff>731520</colOff>
      <row>13</row>
      <rowOff>0</rowOff>
    </to>
    <pic>
      <nvPicPr>
        <cNvPr id="4" name="Imagen 3" descr="Icono de módulo de Compras">
          <a:hlinkClick xmlns:a="http://schemas.openxmlformats.org/drawingml/2006/main" xmlns:r="http://schemas.openxmlformats.org/officeDocument/2006/relationships" r:id="rId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92480" y="2103120"/>
          <a:ext cx="731520" cy="7315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12</row>
      <rowOff>0</rowOff>
    </from>
    <to>
      <col>1</col>
      <colOff>731520</colOff>
      <row>15</row>
      <rowOff>0</rowOff>
    </to>
    <pic>
      <nvPicPr>
        <cNvPr id="5" name="Imagen 4" descr="Icono de módulo de Cuentas por pagar">
          <a:hlinkClick xmlns:a="http://schemas.openxmlformats.org/drawingml/2006/main" xmlns:r="http://schemas.openxmlformats.org/officeDocument/2006/relationships" r:id="rId7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92480" y="2651760"/>
          <a:ext cx="731520" cy="7315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15</row>
      <rowOff>0</rowOff>
    </from>
    <to>
      <col>1</col>
      <colOff>731520</colOff>
      <row>19</row>
      <rowOff>0</rowOff>
    </to>
    <pic>
      <nvPicPr>
        <cNvPr id="6" name="Imagen 5" descr="Icono de módulo de Bancos">
          <a:hlinkClick xmlns:a="http://schemas.openxmlformats.org/drawingml/2006/main" xmlns:r="http://schemas.openxmlformats.org/officeDocument/2006/relationships" r:id="rId9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92480" y="3383280"/>
          <a:ext cx="731520" cy="7315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18</row>
      <rowOff>0</rowOff>
    </from>
    <to>
      <col>1</col>
      <colOff>723900</colOff>
      <row>22</row>
      <rowOff>0</rowOff>
    </to>
    <pic>
      <nvPicPr>
        <cNvPr id="7" name="Imagen 6" descr="Icono de módulo de Recursos Humanos">
          <a:hlinkClick xmlns:a="http://schemas.openxmlformats.org/drawingml/2006/main" xmlns:r="http://schemas.openxmlformats.org/officeDocument/2006/relationships" r:id="rId11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92480" y="3931920"/>
          <a:ext cx="723900" cy="7315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21</row>
      <rowOff>0</rowOff>
    </from>
    <to>
      <col>1</col>
      <colOff>731520</colOff>
      <row>25</row>
      <rowOff>0</rowOff>
    </to>
    <pic>
      <nvPicPr>
        <cNvPr id="8" name="Imagen 7" descr="Icono de módulo de Contabilidad">
          <a:hlinkClick xmlns:a="http://schemas.openxmlformats.org/drawingml/2006/main" xmlns:r="http://schemas.openxmlformats.org/officeDocument/2006/relationships" r:id="rId13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92480" y="4480560"/>
          <a:ext cx="731520" cy="7315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24</row>
      <rowOff>0</rowOff>
    </from>
    <to>
      <col>1</col>
      <colOff>731520</colOff>
      <row>28</row>
      <rowOff>0</rowOff>
    </to>
    <pic>
      <nvPicPr>
        <cNvPr id="9" name="Imagen 8" descr="Icono de módulo de Inventario">
          <a:hlinkClick xmlns:a="http://schemas.openxmlformats.org/drawingml/2006/main" xmlns:r="http://schemas.openxmlformats.org/officeDocument/2006/relationships" r:id="rId15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92480" y="5029200"/>
          <a:ext cx="731520" cy="7315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27</row>
      <rowOff>0</rowOff>
    </from>
    <to>
      <col>1</col>
      <colOff>731520</colOff>
      <row>28</row>
      <rowOff>548640</rowOff>
    </to>
    <pic>
      <nvPicPr>
        <cNvPr id="10" name="Imagen 9" descr="Icono de módulo de Administración del Sistema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92480" y="5577840"/>
          <a:ext cx="731520" cy="7315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briloerp.com/modulo-de-ventas/" TargetMode="External" Id="rId1"/><Relationship Type="http://schemas.openxmlformats.org/officeDocument/2006/relationships/hyperlink" Target="https://briloerp.com/modulo-de-cuentas-por-cobrar/" TargetMode="External" Id="rId2"/><Relationship Type="http://schemas.openxmlformats.org/officeDocument/2006/relationships/hyperlink" Target="https://briloerp.com/modulo-de-compras/" TargetMode="External" Id="rId3"/><Relationship Type="http://schemas.openxmlformats.org/officeDocument/2006/relationships/hyperlink" Target="https://briloerp.com/modulo-cuentas-por-pagar/" TargetMode="External" Id="rId4"/><Relationship Type="http://schemas.openxmlformats.org/officeDocument/2006/relationships/hyperlink" Target="https://briloerp.com/modulo-bancos/" TargetMode="External" Id="rId5"/><Relationship Type="http://schemas.openxmlformats.org/officeDocument/2006/relationships/hyperlink" Target="https://briloerp.com/recursos-humanos/" TargetMode="External" Id="rId6"/><Relationship Type="http://schemas.openxmlformats.org/officeDocument/2006/relationships/hyperlink" Target="https://briloerp.com/contabilidad-general/" TargetMode="External" Id="rId7"/><Relationship Type="http://schemas.openxmlformats.org/officeDocument/2006/relationships/hyperlink" Target="https://briloerp.com/modulo-inventario/" TargetMode="External" Id="rId8"/><Relationship Type="http://schemas.openxmlformats.org/officeDocument/2006/relationships/drawing" Target="/xl/drawings/drawing1.xm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13" sqref="C13"/>
    </sheetView>
  </sheetViews>
  <sheetFormatPr baseColWidth="10" defaultColWidth="8.88671875" defaultRowHeight="14.4"/>
  <cols>
    <col width="24.77734375" customWidth="1" min="1" max="1"/>
    <col width="25" customWidth="1" min="2" max="4"/>
    <col width="22.77734375" bestFit="1" customWidth="1" min="5" max="5"/>
    <col width="22.77734375" customWidth="1" min="6" max="6"/>
    <col width="22.77734375" bestFit="1" customWidth="1" min="7" max="7"/>
    <col width="40.109375" customWidth="1" min="8" max="8"/>
  </cols>
  <sheetData>
    <row r="1" ht="40.05" customHeight="1">
      <c r="A1" s="41" t="inlineStr">
        <is>
          <t>MATRIZ DE EVOLUCIÓN OPERATIVA</t>
        </is>
      </c>
    </row>
    <row r="3" ht="49.8" customFormat="1" customHeight="1" s="4">
      <c r="A3" s="3" t="inlineStr">
        <is>
          <t>ETAPA / CULTURA</t>
        </is>
      </c>
      <c r="B3" s="3" t="inlineStr">
        <is>
          <t>TALENTO HUMANO</t>
        </is>
      </c>
      <c r="C3" s="3" t="inlineStr">
        <is>
          <t>PROCESOS</t>
        </is>
      </c>
      <c r="D3" s="3" t="inlineStr">
        <is>
          <t>DATOS</t>
        </is>
      </c>
      <c r="E3" s="42" t="inlineStr">
        <is>
          <t>APLICACIONES TECNOLOGICAS QUE USAN</t>
        </is>
      </c>
      <c r="F3" s="3" t="inlineStr">
        <is>
          <t>PLAN RECOMENDADO</t>
        </is>
      </c>
      <c r="G3" s="3" t="inlineStr">
        <is>
          <t>APLICACIONES TECNOLOGICAS  RECOMENDADAS</t>
        </is>
      </c>
      <c r="H3" s="3" t="inlineStr">
        <is>
          <t>ORIENTADO A QUE TIPO DE EMPRESA</t>
        </is>
      </c>
    </row>
    <row r="4" ht="25.8" customHeight="1">
      <c r="A4" s="43" t="inlineStr">
        <is>
          <t>Infancia (Inestable)</t>
        </is>
      </c>
      <c r="B4" s="43" t="inlineStr">
        <is>
          <t>Enfoque administrativo/compras</t>
        </is>
      </c>
      <c r="C4" s="43" t="inlineStr">
        <is>
          <t>Sin procesos formales</t>
        </is>
      </c>
      <c r="D4" s="43" t="inlineStr">
        <is>
          <t>Registros manuales</t>
        </is>
      </c>
      <c r="E4" s="43" t="inlineStr">
        <is>
          <t>Sin ERP / Excel básico</t>
        </is>
      </c>
      <c r="F4" s="43" t="inlineStr">
        <is>
          <t>1. NyTEX Auto-Guiado</t>
        </is>
      </c>
      <c r="G4" s="44" t="inlineStr">
        <is>
          <t>📈 NyTEX Lite (o Starter)</t>
        </is>
      </c>
      <c r="H4" s="44" t="inlineStr">
        <is>
          <t>Para microempresas, autónomos o negocios que apenas empiezan.</t>
        </is>
      </c>
    </row>
    <row r="5" ht="25.8" customHeight="1">
      <c r="A5" s="43" t="inlineStr">
        <is>
          <t>Juventud (Estable/Eficiente)</t>
        </is>
      </c>
      <c r="B5" s="43" t="inlineStr">
        <is>
          <t>Enfoque agresivo en ventas</t>
        </is>
      </c>
      <c r="C5" s="43" t="inlineStr">
        <is>
          <t>Prácticas iniciales de mejora</t>
        </is>
      </c>
      <c r="D5" s="43" t="inlineStr">
        <is>
          <t>KPIs básicos de ventas</t>
        </is>
      </c>
      <c r="E5" s="43" t="inlineStr">
        <is>
          <t>ERP con módulos básicos</t>
        </is>
      </c>
      <c r="F5" s="43" t="inlineStr">
        <is>
          <t>2. NyTEX Express</t>
        </is>
      </c>
      <c r="G5" s="43" t="inlineStr">
        <is>
          <t>📈 NyTEX Standard</t>
        </is>
      </c>
      <c r="H5" s="44" t="inlineStr">
        <is>
          <t>Para pequeñas empresas que necesitan el control básico del día a día.</t>
        </is>
      </c>
    </row>
    <row r="6" ht="25.8" customHeight="1">
      <c r="A6" s="43" t="inlineStr">
        <is>
          <t>Madurez (Proactiva)</t>
        </is>
      </c>
      <c r="B6" s="43" t="inlineStr">
        <is>
          <t>Gestión por conocimiento y resultados</t>
        </is>
      </c>
      <c r="C6" s="43" t="inlineStr">
        <is>
          <t>Lean y Six Sigma integrales</t>
        </is>
      </c>
      <c r="D6" s="43" t="inlineStr">
        <is>
          <t>KPIs de eficiencia operacional</t>
        </is>
      </c>
      <c r="E6" s="43" t="inlineStr">
        <is>
          <t>Integración BPM, CRM, BI</t>
        </is>
      </c>
      <c r="F6" s="43" t="inlineStr">
        <is>
          <t>3. NyTEX Advanced</t>
        </is>
      </c>
      <c r="G6" s="43" t="inlineStr">
        <is>
          <t>📈 NyTEX Professional (o Pro)</t>
        </is>
      </c>
      <c r="H6" s="44" t="inlineStr">
        <is>
          <t>Para medianas empresas con procesos integrados y más usuarios.</t>
        </is>
      </c>
    </row>
    <row r="7" ht="25.8" customHeight="1">
      <c r="A7" s="43" t="inlineStr">
        <is>
          <t>Plenitud (Futurista)</t>
        </is>
      </c>
      <c r="B7" s="43" t="inlineStr">
        <is>
          <t>Análisis predictivo de procesos</t>
        </is>
      </c>
      <c r="C7" s="43" t="inlineStr">
        <is>
          <t>Mejores prácticas globales</t>
        </is>
      </c>
      <c r="D7" s="43" t="inlineStr">
        <is>
          <t>KPIs internos, externos y de proveedores</t>
        </is>
      </c>
      <c r="E7" s="43" t="inlineStr">
        <is>
          <t>IA, Big Data, Blockchain</t>
        </is>
      </c>
      <c r="F7" s="43" t="inlineStr">
        <is>
          <t>4. NyTEX Enterprise</t>
        </is>
      </c>
      <c r="G7" t="inlineStr">
        <is>
          <t>📈 NyTEX Enterprise</t>
        </is>
      </c>
      <c r="H7" s="44" t="inlineStr">
        <is>
          <t>Para corporativos, grandes empresas o negocios que requieren personalización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tabSelected="1" workbookViewId="0">
      <selection activeCell="C17" sqref="C17"/>
    </sheetView>
  </sheetViews>
  <sheetFormatPr baseColWidth="10" defaultRowHeight="14.4"/>
  <cols>
    <col width="23.88671875" customWidth="1" min="1" max="1"/>
    <col width="15.109375" customWidth="1" min="2" max="2"/>
    <col width="24.44140625" customWidth="1" min="6" max="7"/>
    <col width="18.5546875" customWidth="1" min="9" max="9"/>
  </cols>
  <sheetData>
    <row r="1" ht="15" customHeight="1" thickBot="1"/>
    <row r="2" ht="50.4" customHeight="1">
      <c r="A2" s="28" t="inlineStr">
        <is>
          <t>MÓDULOS / PAQUETES</t>
        </is>
      </c>
      <c r="B2" s="30" t="inlineStr">
        <is>
          <t>📈 NyTEX starter (Auto-Guiado)</t>
        </is>
      </c>
      <c r="C2" s="30" t="inlineStr">
        <is>
          <t>📈 NyTEX Express</t>
        </is>
      </c>
      <c r="D2" s="30" t="inlineStr">
        <is>
          <t>📈 NyTEX Advanced</t>
        </is>
      </c>
      <c r="E2" s="31" t="inlineStr">
        <is>
          <t>📈 NyTEX Enterprise</t>
        </is>
      </c>
      <c r="F2" s="31" t="inlineStr">
        <is>
          <t>Para qué sirve</t>
        </is>
      </c>
    </row>
    <row r="3" ht="15" customHeight="1">
      <c r="A3" s="32" t="inlineStr">
        <is>
          <t>NyTEX Ventas</t>
        </is>
      </c>
      <c r="B3" s="33" t="inlineStr">
        <is>
          <t>X</t>
        </is>
      </c>
      <c r="C3" s="33" t="inlineStr">
        <is>
          <t>X</t>
        </is>
      </c>
      <c r="D3" s="33" t="inlineStr">
        <is>
          <t>X</t>
        </is>
      </c>
      <c r="E3" s="33" t="inlineStr">
        <is>
          <t>X</t>
        </is>
      </c>
      <c r="F3" s="29" t="n"/>
    </row>
    <row r="4" ht="15" customHeight="1">
      <c r="A4" s="32" t="inlineStr">
        <is>
          <t>NyTEX Inventario</t>
        </is>
      </c>
      <c r="B4" s="33" t="inlineStr">
        <is>
          <t>X</t>
        </is>
      </c>
      <c r="C4" s="33" t="inlineStr">
        <is>
          <t>X</t>
        </is>
      </c>
      <c r="D4" s="33" t="inlineStr">
        <is>
          <t>X</t>
        </is>
      </c>
      <c r="E4" s="33" t="inlineStr">
        <is>
          <t>X</t>
        </is>
      </c>
      <c r="F4" s="29" t="n"/>
      <c r="I4" t="inlineStr">
        <is>
          <t>Bancos</t>
        </is>
      </c>
    </row>
    <row r="5" ht="15" customHeight="1">
      <c r="A5" s="32" t="inlineStr">
        <is>
          <t>NyTEX Contabilidad</t>
        </is>
      </c>
      <c r="B5" s="33" t="inlineStr">
        <is>
          <t>X</t>
        </is>
      </c>
      <c r="C5" s="33" t="inlineStr">
        <is>
          <t>X</t>
        </is>
      </c>
      <c r="D5" s="33" t="inlineStr">
        <is>
          <t>X</t>
        </is>
      </c>
      <c r="E5" s="33" t="inlineStr">
        <is>
          <t>X</t>
        </is>
      </c>
      <c r="F5" s="29" t="n"/>
      <c r="I5" s="40" t="inlineStr">
        <is>
          <t>Cuentas por cobrar</t>
        </is>
      </c>
    </row>
    <row r="6" ht="15" customHeight="1">
      <c r="A6" s="32" t="inlineStr">
        <is>
          <t>NyTEX Cuentas por Cobrar</t>
        </is>
      </c>
      <c r="B6" s="33" t="inlineStr">
        <is>
          <t>X</t>
        </is>
      </c>
      <c r="C6" s="33" t="inlineStr">
        <is>
          <t>X</t>
        </is>
      </c>
      <c r="D6" s="33" t="inlineStr">
        <is>
          <t>X</t>
        </is>
      </c>
      <c r="E6" s="33" t="inlineStr">
        <is>
          <t>X</t>
        </is>
      </c>
      <c r="F6" s="29" t="n"/>
    </row>
    <row r="7" ht="15" customHeight="1">
      <c r="A7" s="32" t="inlineStr">
        <is>
          <t>NyTEX Cuentas por Pagar</t>
        </is>
      </c>
      <c r="B7" s="33" t="inlineStr">
        <is>
          <t>X</t>
        </is>
      </c>
      <c r="C7" s="33" t="inlineStr">
        <is>
          <t>X</t>
        </is>
      </c>
      <c r="D7" s="33" t="inlineStr">
        <is>
          <t>X</t>
        </is>
      </c>
      <c r="E7" s="33" t="inlineStr">
        <is>
          <t>X</t>
        </is>
      </c>
      <c r="F7" s="29" t="n"/>
    </row>
    <row r="8" ht="15" customHeight="1">
      <c r="A8" s="32" t="inlineStr">
        <is>
          <t>NyTEX Compras</t>
        </is>
      </c>
      <c r="B8" s="33" t="inlineStr">
        <is>
          <t>X</t>
        </is>
      </c>
      <c r="C8" s="33" t="inlineStr">
        <is>
          <t>X</t>
        </is>
      </c>
      <c r="D8" s="33" t="inlineStr">
        <is>
          <t>X</t>
        </is>
      </c>
      <c r="E8" s="33" t="inlineStr">
        <is>
          <t>X</t>
        </is>
      </c>
      <c r="F8" s="29" t="n"/>
      <c r="I8" s="40" t="inlineStr">
        <is>
          <t>Compras</t>
        </is>
      </c>
    </row>
    <row r="9" ht="15" customHeight="1">
      <c r="A9" s="32" t="inlineStr">
        <is>
          <t>NyTEX Logística</t>
        </is>
      </c>
      <c r="B9" s="33" t="n"/>
      <c r="C9" s="33" t="inlineStr">
        <is>
          <t>X</t>
        </is>
      </c>
      <c r="D9" s="33" t="inlineStr">
        <is>
          <t>X</t>
        </is>
      </c>
      <c r="E9" s="33" t="inlineStr">
        <is>
          <t>X</t>
        </is>
      </c>
      <c r="F9" s="29" t="n"/>
      <c r="I9" s="40" t="inlineStr">
        <is>
          <t>RRHH</t>
        </is>
      </c>
    </row>
    <row r="10" ht="15" customHeight="1">
      <c r="A10" s="32" t="inlineStr">
        <is>
          <t>NyTEX CRM</t>
        </is>
      </c>
      <c r="B10" s="33" t="n"/>
      <c r="C10" s="33" t="inlineStr">
        <is>
          <t>X</t>
        </is>
      </c>
      <c r="D10" s="33" t="inlineStr">
        <is>
          <t>X</t>
        </is>
      </c>
      <c r="E10" s="33" t="inlineStr">
        <is>
          <t>X</t>
        </is>
      </c>
      <c r="F10" s="29" t="n"/>
      <c r="I10" t="inlineStr">
        <is>
          <t>Admin. del Sistema</t>
        </is>
      </c>
    </row>
    <row r="11" ht="27" customHeight="1">
      <c r="A11" s="32" t="inlineStr">
        <is>
          <t>NyTEX Nómina</t>
        </is>
      </c>
      <c r="B11" s="33" t="n"/>
      <c r="C11" s="33" t="n"/>
      <c r="D11" s="33" t="inlineStr">
        <is>
          <t>X</t>
        </is>
      </c>
      <c r="E11" s="33" t="inlineStr">
        <is>
          <t>X</t>
        </is>
      </c>
      <c r="F11" s="32" t="inlineStr">
        <is>
          <t>Nómina, personal, desempeño</t>
        </is>
      </c>
      <c r="G11" s="32" t="inlineStr">
        <is>
          <t>Workday, SAP SuccessFactors</t>
        </is>
      </c>
    </row>
    <row r="12" ht="15" customHeight="1">
      <c r="A12" s="32" t="inlineStr">
        <is>
          <t>NyTEX RRHH</t>
        </is>
      </c>
      <c r="B12" s="33" t="n"/>
      <c r="C12" s="33" t="n"/>
      <c r="D12" s="33" t="inlineStr">
        <is>
          <t>X</t>
        </is>
      </c>
      <c r="E12" s="33" t="inlineStr">
        <is>
          <t>X</t>
        </is>
      </c>
      <c r="F12" s="29" t="n"/>
      <c r="I12" s="40" t="inlineStr">
        <is>
          <t>Ventas</t>
        </is>
      </c>
    </row>
    <row r="13" ht="15" customHeight="1">
      <c r="A13" s="32" t="inlineStr">
        <is>
          <t>NyTEX Activos Fijos</t>
        </is>
      </c>
      <c r="B13" s="33" t="n"/>
      <c r="C13" s="33" t="n"/>
      <c r="D13" s="33" t="inlineStr">
        <is>
          <t>X</t>
        </is>
      </c>
      <c r="E13" s="33" t="inlineStr">
        <is>
          <t>X</t>
        </is>
      </c>
      <c r="F13" s="29" t="n"/>
      <c r="I13" s="40" t="inlineStr">
        <is>
          <t>Inventario</t>
        </is>
      </c>
    </row>
    <row r="14" ht="15" customHeight="1">
      <c r="A14" s="32" t="inlineStr">
        <is>
          <t>NyTEX Tesorería</t>
        </is>
      </c>
      <c r="B14" s="33" t="n"/>
      <c r="C14" s="33" t="inlineStr">
        <is>
          <t>X</t>
        </is>
      </c>
      <c r="D14" s="33" t="inlineStr">
        <is>
          <t>X</t>
        </is>
      </c>
      <c r="E14" s="33" t="inlineStr">
        <is>
          <t>X</t>
        </is>
      </c>
      <c r="F14" s="29" t="n"/>
      <c r="I14" s="40" t="inlineStr">
        <is>
          <t>Cuentas por pagar</t>
        </is>
      </c>
    </row>
    <row r="15" ht="15" customHeight="1">
      <c r="A15" s="32" t="inlineStr">
        <is>
          <t>NyTEX Servicio al cliente</t>
        </is>
      </c>
      <c r="E15" s="33" t="inlineStr">
        <is>
          <t>X</t>
        </is>
      </c>
      <c r="F15" s="32" t="inlineStr">
        <is>
          <t>Tickets, reclamos, soporte</t>
        </is>
      </c>
      <c r="G15" s="32" t="inlineStr">
        <is>
          <t>Zendesk, Freshdesk</t>
        </is>
      </c>
    </row>
    <row r="16" ht="30" customHeight="1">
      <c r="A16" s="32" t="inlineStr">
        <is>
          <t>NyTEX BI/KPI y Analytics</t>
        </is>
      </c>
      <c r="B16" s="33" t="n"/>
      <c r="C16" s="33" t="n"/>
      <c r="D16" s="33" t="inlineStr">
        <is>
          <t>X</t>
        </is>
      </c>
      <c r="E16" s="33" t="inlineStr">
        <is>
          <t>X</t>
        </is>
      </c>
      <c r="F16" s="32" t="inlineStr">
        <is>
          <t>KPIs, dashboards, análisis</t>
        </is>
      </c>
      <c r="G16" s="32" t="inlineStr">
        <is>
          <t>Microsoft Power BI, Tableau, Qlik</t>
        </is>
      </c>
    </row>
    <row r="17" ht="15" customHeight="1">
      <c r="A17" s="32" t="inlineStr">
        <is>
          <t>NyTEX Process Suite</t>
        </is>
      </c>
      <c r="B17" s="33" t="n"/>
      <c r="C17" s="33" t="n"/>
      <c r="D17" s="33" t="inlineStr">
        <is>
          <t>X</t>
        </is>
      </c>
      <c r="E17" s="33" t="inlineStr">
        <is>
          <t>X</t>
        </is>
      </c>
      <c r="F17" s="29" t="n"/>
    </row>
    <row r="18" ht="15" customHeight="1">
      <c r="A18" s="32" t="inlineStr">
        <is>
          <t>NyTEX Mineria de Datos</t>
        </is>
      </c>
      <c r="B18" s="33" t="n"/>
      <c r="C18" s="33" t="n"/>
      <c r="D18" s="33" t="n"/>
      <c r="E18" s="33" t="inlineStr">
        <is>
          <t>X</t>
        </is>
      </c>
      <c r="F18" s="29" t="n"/>
    </row>
    <row r="19" ht="15" customHeight="1">
      <c r="A19" s="32" t="inlineStr">
        <is>
          <t>NyTEX Business Partners</t>
        </is>
      </c>
      <c r="B19" s="33" t="n"/>
      <c r="C19" s="33" t="n"/>
      <c r="D19" s="33" t="n"/>
      <c r="E19" s="33" t="inlineStr">
        <is>
          <t>X</t>
        </is>
      </c>
      <c r="F19" s="29" t="n"/>
    </row>
    <row r="20" ht="15" customHeight="1">
      <c r="A20" s="32" t="inlineStr">
        <is>
          <t>NyTEX Configuración</t>
        </is>
      </c>
      <c r="B20" s="33" t="n"/>
      <c r="C20" s="33" t="n"/>
      <c r="D20" s="33" t="n"/>
      <c r="E20" s="33" t="n"/>
      <c r="F20" s="29" t="n"/>
    </row>
    <row r="21">
      <c r="B21" s="29">
        <f>+COUNTA(B3:B20)</f>
        <v/>
      </c>
      <c r="C21" s="29">
        <f>+COUNTA(C3:C20)</f>
        <v/>
      </c>
      <c r="D21" s="29">
        <f>+COUNTA(D3:D20)</f>
        <v/>
      </c>
      <c r="E21" s="29">
        <f>+COUNTA(E3:E18)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K26"/>
  <sheetViews>
    <sheetView workbookViewId="0">
      <pane xSplit="1" ySplit="3" topLeftCell="B4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10" defaultRowHeight="14.4"/>
  <cols>
    <col width="25.6640625" customWidth="1" min="1" max="1"/>
    <col width="31.33203125" customWidth="1" min="2" max="5"/>
  </cols>
  <sheetData>
    <row r="2" ht="30.6" customHeight="1" thickBot="1">
      <c r="A2" s="28" t="inlineStr">
        <is>
          <t>Tabla Maestra Actualizada (Tarifa Plana por Módulos)</t>
        </is>
      </c>
      <c r="B2" s="5" t="n"/>
      <c r="C2" s="5" t="n"/>
      <c r="D2" s="5" t="n"/>
      <c r="E2" s="5" t="n"/>
    </row>
    <row r="3" ht="17.4" customHeight="1" thickBot="1">
      <c r="A3" s="22" t="inlineStr">
        <is>
          <t>Característica / Paquete</t>
        </is>
      </c>
      <c r="B3" s="23" t="inlineStr">
        <is>
          <t>NyTEX Auto-Guiado (Self-Service)</t>
        </is>
      </c>
      <c r="C3" s="23" t="inlineStr">
        <is>
          <t>NyTEX Express</t>
        </is>
      </c>
      <c r="D3" s="23" t="inlineStr">
        <is>
          <t>NyTEX Advanced</t>
        </is>
      </c>
      <c r="E3" s="24" t="inlineStr">
        <is>
          <t>NyTEX Enterprise</t>
        </is>
      </c>
    </row>
    <row r="4" ht="67.2" customHeight="1">
      <c r="A4" s="12" t="inlineStr">
        <is>
          <t>Precio Fijo de Implementación</t>
        </is>
      </c>
      <c r="B4" s="13" t="inlineStr">
        <is>
          <t>$0 USD (¡Gratis!)</t>
        </is>
      </c>
      <c r="C4" s="13" t="inlineStr">
        <is>
          <t>$1,500 USD</t>
        </is>
      </c>
      <c r="D4" s="13" t="inlineStr">
        <is>
          <t>$4,500 USD</t>
        </is>
      </c>
      <c r="E4" s="14" t="inlineStr">
        <is>
          <t>Cotización a Medida</t>
        </is>
      </c>
      <c r="F4" s="25" t="inlineStr">
        <is>
          <t>Costo sugerido por modulo</t>
        </is>
      </c>
      <c r="G4" s="25" t="inlineStr">
        <is>
          <t>modulos</t>
        </is>
      </c>
      <c r="H4" s="25" t="inlineStr">
        <is>
          <t>Costo real por modulo</t>
        </is>
      </c>
    </row>
    <row r="5" ht="16.8" customHeight="1">
      <c r="A5" s="45" t="inlineStr">
        <is>
          <t>PRECIO LICENCIA (TARIFA PLANA)</t>
        </is>
      </c>
      <c r="B5" s="9" t="inlineStr">
        <is>
          <t>$35 USD / mes</t>
        </is>
      </c>
      <c r="C5" s="9" t="inlineStr">
        <is>
          <t>$149 USD / mes</t>
        </is>
      </c>
      <c r="D5" s="9" t="inlineStr">
        <is>
          <t>$299 USD / mes</t>
        </is>
      </c>
      <c r="E5" s="16" t="inlineStr">
        <is>
          <t>$499 USD / mes</t>
        </is>
      </c>
      <c r="F5" s="46" t="n">
        <v>35</v>
      </c>
      <c r="G5" t="n">
        <v>1</v>
      </c>
      <c r="H5" s="46">
        <f>F5/G5</f>
        <v/>
      </c>
    </row>
    <row r="6" ht="16.8" customHeight="1">
      <c r="A6" s="47" t="n"/>
      <c r="B6" s="10" t="inlineStr">
        <is>
          <t>(Fijo para toda la empresa)</t>
        </is>
      </c>
      <c r="C6" s="10" t="inlineStr">
        <is>
          <t>(Fijo para toda la empresa)</t>
        </is>
      </c>
      <c r="D6" s="10" t="inlineStr">
        <is>
          <t>(Fijo para toda la empresa)</t>
        </is>
      </c>
      <c r="E6" s="17" t="inlineStr">
        <is>
          <t>(Fijo para toda la empresa)</t>
        </is>
      </c>
      <c r="F6" s="46" t="n"/>
      <c r="H6" s="46" t="n"/>
    </row>
    <row r="7">
      <c r="A7" s="48" t="n"/>
      <c r="F7" s="46" t="n">
        <v>149</v>
      </c>
      <c r="G7" t="n">
        <v>6</v>
      </c>
      <c r="H7" s="46">
        <f>F7/G7</f>
        <v/>
      </c>
      <c r="I7" s="49">
        <f>+G7*$H$5</f>
        <v/>
      </c>
      <c r="J7" s="49">
        <f>+I7-F7</f>
        <v/>
      </c>
      <c r="K7" s="46">
        <f>+J7/G7</f>
        <v/>
      </c>
    </row>
    <row r="8" ht="16.8" customHeight="1">
      <c r="A8" s="45" t="inlineStr">
        <is>
          <t>Acceso a Módulos (Software)</t>
        </is>
      </c>
      <c r="B8" s="9" t="inlineStr">
        <is>
          <t>Hasta 2 Módulos</t>
        </is>
      </c>
      <c r="C8" s="9" t="inlineStr">
        <is>
          <t>De 2 Hasta 6 Módulos</t>
        </is>
      </c>
      <c r="D8" s="9" t="inlineStr">
        <is>
          <t>De 7 Hasta 10 Módulos</t>
        </is>
      </c>
      <c r="E8" s="16" t="inlineStr">
        <is>
          <t>Todos los Módulos</t>
        </is>
      </c>
      <c r="F8" s="46" t="n">
        <v>275</v>
      </c>
      <c r="G8" t="n">
        <v>10</v>
      </c>
      <c r="H8" s="46">
        <f>F8/G8</f>
        <v/>
      </c>
      <c r="I8" s="49">
        <f>+G8*$H$5</f>
        <v/>
      </c>
      <c r="J8" s="49">
        <f>+I8-F8</f>
        <v/>
      </c>
      <c r="K8" s="46">
        <f>+J8/G8</f>
        <v/>
      </c>
    </row>
    <row r="9" ht="33.6" customHeight="1">
      <c r="A9" s="48" t="n"/>
      <c r="B9" s="10" t="inlineStr">
        <is>
          <t>(Ventas, Inventario)</t>
        </is>
      </c>
      <c r="C9" s="10" t="inlineStr">
        <is>
          <t>(Se suma Compras, Contabilidad, etc.)</t>
        </is>
      </c>
      <c r="D9" s="10" t="inlineStr">
        <is>
          <t>(Se suma Producción, Nómina, RRHH, etc.)</t>
        </is>
      </c>
      <c r="E9" s="17" t="inlineStr">
        <is>
          <t>(Full Suite + Configuración Avanzada)</t>
        </is>
      </c>
      <c r="F9" s="46" t="n">
        <v>400</v>
      </c>
      <c r="G9" t="n">
        <v>15</v>
      </c>
      <c r="H9" s="46">
        <f>F9/G9</f>
        <v/>
      </c>
      <c r="I9" s="49">
        <f>+G9*$H$5</f>
        <v/>
      </c>
      <c r="J9" s="49">
        <f>+I9-F9</f>
        <v/>
      </c>
      <c r="K9" s="46">
        <f>+J9/G9</f>
        <v/>
      </c>
    </row>
    <row r="10" ht="16.8" customHeight="1">
      <c r="A10" s="45" t="inlineStr">
        <is>
          <t>Usuarios Incluidos</t>
        </is>
      </c>
      <c r="B10" s="11" t="inlineStr">
        <is>
          <t>Ilimitados</t>
        </is>
      </c>
      <c r="C10" s="11" t="inlineStr">
        <is>
          <t>Ilimitados</t>
        </is>
      </c>
      <c r="D10" s="11" t="inlineStr">
        <is>
          <t>Ilimitados</t>
        </is>
      </c>
      <c r="E10" s="18" t="inlineStr">
        <is>
          <t>Ilimitados</t>
        </is>
      </c>
    </row>
    <row r="11" ht="16.8" customHeight="1">
      <c r="A11" s="45" t="inlineStr">
        <is>
          <t>Tiempo de Salida (Go-Live)</t>
        </is>
      </c>
      <c r="B11" s="9" t="inlineStr">
        <is>
          <t>Inmediato (A tu propio ritmo)</t>
        </is>
      </c>
      <c r="C11" s="11" t="inlineStr">
        <is>
          <t>2 a 3 semanas</t>
        </is>
      </c>
      <c r="D11" s="11" t="inlineStr">
        <is>
          <t>1 a 2 meses</t>
        </is>
      </c>
      <c r="E11" s="18" t="inlineStr">
        <is>
          <t>3+ meses</t>
        </is>
      </c>
    </row>
    <row r="12" ht="16.8" customHeight="1">
      <c r="A12" s="45" t="inlineStr">
        <is>
          <t>¿Qué incluye el Partner? (Implementación)</t>
        </is>
      </c>
      <c r="B12" s="11" t="inlineStr">
        <is>
          <t xml:space="preserve"> Cero intervención humana.</t>
        </is>
      </c>
      <c r="C12" s="11" t="inlineStr">
        <is>
          <t xml:space="preserve"> Levantamiento rápido</t>
        </is>
      </c>
      <c r="D12" s="11" t="inlineStr">
        <is>
          <t xml:space="preserve"> GAP Analysis profundo</t>
        </is>
      </c>
      <c r="E12" s="18" t="inlineStr">
        <is>
          <t xml:space="preserve"> Arquitectura a medida</t>
        </is>
      </c>
    </row>
    <row r="13" ht="33.6" customHeight="1">
      <c r="A13" s="47" t="n"/>
      <c r="B13" s="11" t="inlineStr">
        <is>
          <t xml:space="preserve"> Proveen link de acceso.</t>
        </is>
      </c>
      <c r="C13" s="11" t="inlineStr">
        <is>
          <t xml:space="preserve"> Configuración de 3 a 6 módulos</t>
        </is>
      </c>
      <c r="D13" s="11" t="inlineStr">
        <is>
          <t xml:space="preserve"> Configuración de hasta 10 módulos</t>
        </is>
      </c>
      <c r="E13" s="18" t="inlineStr">
        <is>
          <t xml:space="preserve"> Integraciones con APIs</t>
        </is>
      </c>
    </row>
    <row r="14" ht="16.8" customHeight="1">
      <c r="A14" s="47" t="n"/>
      <c r="B14" s="11" t="n"/>
      <c r="C14" s="11" t="inlineStr">
        <is>
          <t xml:space="preserve"> Migración básica (Excel)</t>
        </is>
      </c>
      <c r="D14" s="11" t="inlineStr">
        <is>
          <t xml:space="preserve"> Automatización de procesos</t>
        </is>
      </c>
      <c r="E14" s="18" t="inlineStr">
        <is>
          <t xml:space="preserve"> Desarrollo de BI</t>
        </is>
      </c>
    </row>
    <row r="15" ht="16.8" customHeight="1">
      <c r="A15" s="47" t="n"/>
      <c r="B15" s="11" t="n"/>
      <c r="C15" s="11" t="inlineStr">
        <is>
          <t xml:space="preserve"> Capacitación grupal online</t>
        </is>
      </c>
      <c r="D15" s="11" t="inlineStr">
        <is>
          <t xml:space="preserve"> Capacitación por áreas</t>
        </is>
      </c>
      <c r="E15" s="18" t="inlineStr">
        <is>
          <t xml:space="preserve"> Migración de DBs complejas</t>
        </is>
      </c>
    </row>
    <row r="16" ht="16.8" customHeight="1">
      <c r="A16" s="48" t="n"/>
      <c r="B16" s="11" t="n"/>
      <c r="C16" s="11" t="n"/>
      <c r="D16" s="11" t="n"/>
      <c r="E16" s="18" t="inlineStr">
        <is>
          <t xml:space="preserve"> Pruebas UAT exhaustivas</t>
        </is>
      </c>
    </row>
    <row r="17" ht="50.4" customHeight="1">
      <c r="A17" s="45" t="inlineStr">
        <is>
          <t>¿Cómo funciona la ejecución?</t>
        </is>
      </c>
      <c r="B17" s="11" t="inlineStr">
        <is>
          <t>Usas nuestro Asistente de Configuración (Wizard) en la web y academia en video.</t>
        </is>
      </c>
      <c r="C17" s="11" t="inlineStr">
        <is>
          <t>Un Partner lidera la configuración basándose en mejores prácticas estándar para salir rápido.</t>
        </is>
      </c>
      <c r="D17" s="11" t="inlineStr">
        <is>
          <t>Un Partner hace ingeniería de procesos y personaliza el sistema para cada departamento.</t>
        </is>
      </c>
      <c r="E17" s="18" t="inlineStr">
        <is>
          <t>Un equipo de consultores actúa como tu departamento de TI, ejecutando el proyecto por fases.</t>
        </is>
      </c>
    </row>
    <row r="18" ht="33.6" customHeight="1">
      <c r="A18" s="45" t="inlineStr">
        <is>
          <t>Facturación de la Implementación</t>
        </is>
      </c>
      <c r="B18" s="9" t="inlineStr">
        <is>
          <t>No aplica</t>
        </is>
      </c>
      <c r="C18" s="11" t="inlineStr">
        <is>
          <t>Facturado directamente por el Partner</t>
        </is>
      </c>
      <c r="D18" s="11" t="inlineStr">
        <is>
          <t>Facturado directamente por el Partner</t>
        </is>
      </c>
      <c r="E18" s="18" t="inlineStr">
        <is>
          <t>Facturado directamente por el Partner</t>
        </is>
      </c>
    </row>
    <row r="19" ht="33.6" customHeight="1">
      <c r="A19" s="45" t="inlineStr">
        <is>
          <t>Facturación de Licencias</t>
        </is>
      </c>
      <c r="B19" s="11" t="inlineStr">
        <is>
          <t>Facturado automáticamente por NyTEX</t>
        </is>
      </c>
      <c r="C19" s="11" t="inlineStr">
        <is>
          <t>Facturado automáticamente por NyTEX</t>
        </is>
      </c>
      <c r="D19" s="11" t="inlineStr">
        <is>
          <t>Facturado automáticamente por NyTEX</t>
        </is>
      </c>
      <c r="E19" s="18" t="inlineStr">
        <is>
          <t>Facturado automáticamente por NyTEX</t>
        </is>
      </c>
    </row>
    <row r="20" ht="51" customHeight="1" thickBot="1">
      <c r="A20" s="19" t="inlineStr">
        <is>
          <t>Soporte Incluido</t>
        </is>
      </c>
      <c r="B20" s="20" t="inlineStr">
        <is>
          <t>Soporte vía Tickets / Email directamente con NyTEX</t>
        </is>
      </c>
      <c r="C20" s="20" t="inlineStr">
        <is>
          <t>Soporte humano con tu Partner asignado</t>
        </is>
      </c>
      <c r="D20" s="20" t="inlineStr">
        <is>
          <t>Soporte VIP con tu Partner asignado</t>
        </is>
      </c>
      <c r="E20" s="21" t="inlineStr">
        <is>
          <t>Soporte Dedicado del Partner + Soporte Nivel 2 Prioritario de NyTEX</t>
        </is>
      </c>
    </row>
    <row r="21">
      <c r="A21" s="5" t="n"/>
      <c r="B21" s="5" t="n"/>
      <c r="C21" s="5" t="n"/>
      <c r="D21" s="5" t="n"/>
      <c r="E21" s="5" t="n"/>
    </row>
    <row r="22">
      <c r="A22" s="5" t="n"/>
      <c r="B22" s="5" t="n"/>
      <c r="C22" s="5" t="n"/>
      <c r="D22" s="5" t="n"/>
      <c r="E22" s="5" t="n"/>
    </row>
    <row r="23" ht="15" customHeight="1">
      <c r="A23" s="6" t="inlineStr">
        <is>
          <t>¿Por qué esta estructura es un arma letal en el mercado?</t>
        </is>
      </c>
      <c r="B23" s="5" t="n"/>
      <c r="C23" s="5" t="n"/>
      <c r="D23" s="5" t="n"/>
      <c r="E23" s="5" t="n"/>
    </row>
    <row r="24">
      <c r="A24" s="7" t="inlineStr">
        <is>
          <t>1. Destroza a la competencia: Tus competidores (SAP, Odoo, Oracle) castigan al cliente por contratar más gente (cobrando por usuario). Tú le dices al cliente: "Contrata a todos los empleados que quieras, dales acceso al sistema; solo págame por el tamaño de tu operación (los módulos)".</t>
        </is>
      </c>
      <c r="B24" s="5" t="n"/>
      <c r="C24" s="5" t="n"/>
      <c r="D24" s="5" t="n"/>
      <c r="E24" s="5" t="n"/>
    </row>
    <row r="25">
      <c r="A25" s="7" t="inlineStr">
        <is>
          <t>2. Upselling natural para ti y el Partner: Cuando la empresa pequeña (Plan de $49) empieza a crecer y de pronto necesita automatizar su Nómina o Producción, forzosamente tendrán que subir de nivel de licencia (a $149 o $299). Y al hacerlo, necesitarán contratar a tu Partner para que les implemente esos nuevos módulos.</t>
        </is>
      </c>
      <c r="B25" s="5" t="n"/>
      <c r="C25" s="5" t="n"/>
      <c r="D25" s="5" t="n"/>
      <c r="E25" s="5" t="n"/>
    </row>
    <row r="26">
      <c r="A26" s="8" t="inlineStr">
        <is>
          <t>Ambos ganan más dinero conforme la empresa del cliente crece y se vuelve más compleja. ¿Te cuadran mejor estos montos de Tarifa Plana ($49, $149, $299, $499) para tus expectativas de ingresos?</t>
        </is>
      </c>
      <c r="B26" s="5" t="n"/>
      <c r="C26" s="5" t="n"/>
      <c r="D26" s="5" t="n"/>
      <c r="E26" s="5" t="n"/>
    </row>
  </sheetData>
  <mergeCells count="3">
    <mergeCell ref="A5:A7"/>
    <mergeCell ref="A12:A16"/>
    <mergeCell ref="A8:A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5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RowHeight="14.4"/>
  <cols>
    <col width="17" customWidth="1" min="4" max="4"/>
    <col width="17.5546875" customWidth="1" min="5" max="5"/>
    <col width="55.6640625" customWidth="1" min="6" max="6"/>
  </cols>
  <sheetData>
    <row r="2" ht="31.2" customHeight="1">
      <c r="B2" s="2" t="inlineStr">
        <is>
          <t>#</t>
        </is>
      </c>
      <c r="C2" s="2" t="inlineStr">
        <is>
          <t>Categoría</t>
        </is>
      </c>
      <c r="D2" s="2" t="inlineStr">
        <is>
          <t>Aplicación</t>
        </is>
      </c>
      <c r="E2" s="2" t="inlineStr">
        <is>
          <t>Principal fortaleza</t>
        </is>
      </c>
      <c r="F2" s="2" t="inlineStr">
        <is>
          <t>Funcionalidad que tomaría para Antigravity</t>
        </is>
      </c>
      <c r="G2" s="2" t="inlineStr">
        <is>
          <t>Prioridad</t>
        </is>
      </c>
    </row>
    <row r="3" ht="31.2" customHeight="1">
      <c r="B3" s="2" t="n">
        <v>1</v>
      </c>
      <c r="C3" s="2" t="inlineStr">
        <is>
          <t>ERP</t>
        </is>
      </c>
      <c r="D3" s="2" t="inlineStr">
        <is>
          <t>SAP S/4HANA</t>
        </is>
      </c>
      <c r="E3" s="2" t="inlineStr">
        <is>
          <t>ERP corporativo</t>
        </is>
      </c>
      <c r="F3" s="2" t="inlineStr">
        <is>
          <t>Finanzas, compras, inventarios, centros de costo, autorizaciones</t>
        </is>
      </c>
      <c r="G3" s="34" t="inlineStr">
        <is>
          <t>🔴</t>
        </is>
      </c>
    </row>
    <row r="4" ht="31.2" customHeight="1">
      <c r="B4" s="2" t="n">
        <v>2</v>
      </c>
      <c r="C4" s="2" t="inlineStr">
        <is>
          <t>ERP</t>
        </is>
      </c>
      <c r="D4" s="2" t="inlineStr">
        <is>
          <t>Odoo</t>
        </is>
      </c>
      <c r="E4" s="2" t="inlineStr">
        <is>
          <t>ERP modular</t>
        </is>
      </c>
      <c r="F4" s="2" t="inlineStr">
        <is>
          <t>Arquitectura modular, compras, ventas, inventarios, POS</t>
        </is>
      </c>
      <c r="G4" s="34" t="inlineStr">
        <is>
          <t>🔴</t>
        </is>
      </c>
    </row>
    <row r="5" ht="31.2" customHeight="1">
      <c r="B5" s="2" t="n">
        <v>3</v>
      </c>
      <c r="C5" s="2" t="inlineStr">
        <is>
          <t>ERP</t>
        </is>
      </c>
      <c r="D5" s="2" t="inlineStr">
        <is>
          <t>Microsoft Dynamics 365</t>
        </is>
      </c>
      <c r="E5" s="2" t="inlineStr">
        <is>
          <t>ERP + CRM</t>
        </is>
      </c>
      <c r="F5" s="2" t="inlineStr">
        <is>
          <t>Integración de áreas, workflows, roles, dashboards</t>
        </is>
      </c>
      <c r="G5" s="34" t="inlineStr">
        <is>
          <t>🔴</t>
        </is>
      </c>
    </row>
    <row r="6" ht="31.2" customHeight="1">
      <c r="B6" s="2" t="n">
        <v>4</v>
      </c>
      <c r="C6" s="2" t="inlineStr">
        <is>
          <t>ERP</t>
        </is>
      </c>
      <c r="D6" s="2" t="inlineStr">
        <is>
          <t>Oracle NetSuite</t>
        </is>
      </c>
      <c r="E6" s="2" t="inlineStr">
        <is>
          <t>ERP Cloud</t>
        </is>
      </c>
      <c r="F6" s="2" t="inlineStr">
        <is>
          <t>Finanzas multiempresa, compras, inventarios, consolidación</t>
        </is>
      </c>
      <c r="G6" s="34" t="inlineStr">
        <is>
          <t>🔴</t>
        </is>
      </c>
    </row>
    <row r="7" ht="31.2" customHeight="1">
      <c r="B7" s="2" t="n">
        <v>5</v>
      </c>
      <c r="C7" s="2" t="inlineStr">
        <is>
          <t>ERP</t>
        </is>
      </c>
      <c r="D7" s="2" t="inlineStr">
        <is>
          <t>Oracle Fusion Cloud ERP</t>
        </is>
      </c>
      <c r="E7" s="2" t="inlineStr">
        <is>
          <t>ERP corporativo</t>
        </is>
      </c>
      <c r="F7" s="2" t="inlineStr">
        <is>
          <t>Presupuesto, compras, aprobaciones y finanzas</t>
        </is>
      </c>
      <c r="G7" s="34" t="inlineStr">
        <is>
          <t>🟠</t>
        </is>
      </c>
    </row>
    <row r="8" ht="31.2" customHeight="1">
      <c r="B8" s="2" t="n">
        <v>6</v>
      </c>
      <c r="C8" s="2" t="inlineStr">
        <is>
          <t>ERP</t>
        </is>
      </c>
      <c r="D8" s="2" t="inlineStr">
        <is>
          <t>Infor CloudSuite</t>
        </is>
      </c>
      <c r="E8" s="2" t="inlineStr">
        <is>
          <t>Retail/distribución</t>
        </is>
      </c>
      <c r="F8" s="2" t="inlineStr">
        <is>
          <t>Supply chain, inventarios y operaciones</t>
        </is>
      </c>
      <c r="G8" s="34" t="inlineStr">
        <is>
          <t>🟠</t>
        </is>
      </c>
    </row>
    <row r="9" ht="31.2" customHeight="1">
      <c r="B9" s="2" t="n">
        <v>7</v>
      </c>
      <c r="C9" s="2" t="inlineStr">
        <is>
          <t>CRM</t>
        </is>
      </c>
      <c r="D9" s="2" t="inlineStr">
        <is>
          <t>Salesforce</t>
        </is>
      </c>
      <c r="E9" s="2" t="inlineStr">
        <is>
          <t>CRM empresarial</t>
        </is>
      </c>
      <c r="F9" s="2" t="inlineStr">
        <is>
          <t>Leads, oportunidades, actividades, pipeline, automatizaciones</t>
        </is>
      </c>
      <c r="G9" s="34" t="inlineStr">
        <is>
          <t>🔴</t>
        </is>
      </c>
    </row>
    <row r="10" ht="31.2" customHeight="1">
      <c r="B10" s="2" t="n">
        <v>8</v>
      </c>
      <c r="C10" s="2" t="inlineStr">
        <is>
          <t>CRM</t>
        </is>
      </c>
      <c r="D10" s="2" t="inlineStr">
        <is>
          <t>HubSpot CRM</t>
        </is>
      </c>
      <c r="E10" s="2" t="inlineStr">
        <is>
          <t>Marketing + CRM</t>
        </is>
      </c>
      <c r="F10" s="2" t="inlineStr">
        <is>
          <t>Embudos, formularios, automatización y seguimiento</t>
        </is>
      </c>
      <c r="G10" s="34" t="inlineStr">
        <is>
          <t>🔴</t>
        </is>
      </c>
    </row>
    <row r="11" ht="31.2" customHeight="1">
      <c r="B11" s="2" t="n">
        <v>9</v>
      </c>
      <c r="C11" s="2" t="inlineStr">
        <is>
          <t>CRM</t>
        </is>
      </c>
      <c r="D11" s="2" t="inlineStr">
        <is>
          <t>Dynamics 365 Sales</t>
        </is>
      </c>
      <c r="E11" s="2" t="inlineStr">
        <is>
          <t>CRM integrado</t>
        </is>
      </c>
      <c r="F11" s="2" t="inlineStr">
        <is>
          <t>Cliente 360°, oportunidades, tareas y pronósticos</t>
        </is>
      </c>
      <c r="G11" s="34" t="inlineStr">
        <is>
          <t>🟠</t>
        </is>
      </c>
    </row>
    <row r="12" ht="31.2" customHeight="1">
      <c r="B12" s="2" t="n">
        <v>10</v>
      </c>
      <c r="C12" s="2" t="inlineStr">
        <is>
          <t>CRM</t>
        </is>
      </c>
      <c r="D12" s="2" t="inlineStr">
        <is>
          <t>Zoho CRM</t>
        </is>
      </c>
      <c r="E12" s="2" t="inlineStr">
        <is>
          <t>CRM configurable</t>
        </is>
      </c>
      <c r="F12" s="2" t="inlineStr">
        <is>
          <t>Campos personalizados, workflows y automatizaciones</t>
        </is>
      </c>
      <c r="G12" s="34" t="inlineStr">
        <is>
          <t>🟠</t>
        </is>
      </c>
    </row>
    <row r="13" ht="18" customHeight="1">
      <c r="B13" s="2" t="n">
        <v>11</v>
      </c>
      <c r="C13" s="2" t="inlineStr">
        <is>
          <t>CRM</t>
        </is>
      </c>
      <c r="D13" s="2" t="inlineStr">
        <is>
          <t>Pipedrive</t>
        </is>
      </c>
      <c r="E13" s="2" t="inlineStr">
        <is>
          <t>Pipeline visual</t>
        </is>
      </c>
      <c r="F13" s="2" t="inlineStr">
        <is>
          <t>Embudo visual de oportunidades y seguimiento</t>
        </is>
      </c>
      <c r="G13" s="34" t="inlineStr">
        <is>
          <t>🔴</t>
        </is>
      </c>
    </row>
    <row r="14" ht="46.8" customHeight="1">
      <c r="B14" s="2" t="n">
        <v>12</v>
      </c>
      <c r="C14" s="2" t="inlineStr">
        <is>
          <t>BPM</t>
        </is>
      </c>
      <c r="D14" s="2" t="inlineStr">
        <is>
          <t>Microsoft Power Automate</t>
        </is>
      </c>
      <c r="E14" s="2" t="inlineStr">
        <is>
          <t>Automatización</t>
        </is>
      </c>
      <c r="F14" s="2" t="inlineStr">
        <is>
          <t>Disparadores, condiciones, aprobaciones y notificaciones</t>
        </is>
      </c>
      <c r="G14" s="34" t="inlineStr">
        <is>
          <t>🔴</t>
        </is>
      </c>
    </row>
    <row r="15" ht="18" customHeight="1">
      <c r="B15" s="2" t="n">
        <v>13</v>
      </c>
      <c r="C15" s="2" t="inlineStr">
        <is>
          <t>BPM</t>
        </is>
      </c>
      <c r="D15" s="2" t="inlineStr">
        <is>
          <t>Bizagi</t>
        </is>
      </c>
      <c r="E15" s="2" t="inlineStr">
        <is>
          <t>BPMN</t>
        </is>
      </c>
      <c r="F15" s="2" t="inlineStr">
        <is>
          <t>Modelado BPMN, responsables, tiempos y ejecución</t>
        </is>
      </c>
      <c r="G15" s="34" t="inlineStr">
        <is>
          <t>🔴</t>
        </is>
      </c>
    </row>
    <row r="16" ht="18" customHeight="1">
      <c r="B16" s="2" t="n">
        <v>14</v>
      </c>
      <c r="C16" s="2" t="inlineStr">
        <is>
          <t>BPM</t>
        </is>
      </c>
      <c r="D16" s="2" t="inlineStr">
        <is>
          <t>Appian</t>
        </is>
      </c>
      <c r="E16" s="2" t="inlineStr">
        <is>
          <t>Low-code BPM</t>
        </is>
      </c>
      <c r="F16" s="2" t="inlineStr">
        <is>
          <t>Formularios, reglas, workflows y casos</t>
        </is>
      </c>
      <c r="G16" s="34" t="inlineStr">
        <is>
          <t>🔴</t>
        </is>
      </c>
    </row>
    <row r="17" ht="18" customHeight="1">
      <c r="B17" s="2" t="n">
        <v>15</v>
      </c>
      <c r="C17" s="2" t="inlineStr">
        <is>
          <t>BPM</t>
        </is>
      </c>
      <c r="D17" s="2" t="inlineStr">
        <is>
          <t>Nintex</t>
        </is>
      </c>
      <c r="E17" s="2" t="inlineStr">
        <is>
          <t>Workflow</t>
        </is>
      </c>
      <c r="F17" s="2" t="inlineStr">
        <is>
          <t>Formularios y circuitos de aprobación</t>
        </is>
      </c>
      <c r="G17" s="34" t="inlineStr">
        <is>
          <t>🟠</t>
        </is>
      </c>
    </row>
    <row r="18" ht="31.2" customHeight="1">
      <c r="B18" s="2" t="n">
        <v>16</v>
      </c>
      <c r="C18" s="2" t="inlineStr">
        <is>
          <t>BI</t>
        </is>
      </c>
      <c r="D18" s="2" t="inlineStr">
        <is>
          <t>Microsoft Power BI</t>
        </is>
      </c>
      <c r="E18" s="2" t="inlineStr">
        <is>
          <t>Dashboards</t>
        </is>
      </c>
      <c r="F18" s="2" t="inlineStr">
        <is>
          <t>KPI, drill-down, filtros, Pareto y semáforos</t>
        </is>
      </c>
      <c r="G18" s="34" t="inlineStr">
        <is>
          <t>🔴</t>
        </is>
      </c>
    </row>
    <row r="19" ht="18" customHeight="1">
      <c r="B19" s="2" t="n">
        <v>17</v>
      </c>
      <c r="C19" s="2" t="inlineStr">
        <is>
          <t>BI</t>
        </is>
      </c>
      <c r="D19" s="2" t="inlineStr">
        <is>
          <t>Tableau</t>
        </is>
      </c>
      <c r="E19" s="2" t="inlineStr">
        <is>
          <t>Visualización</t>
        </is>
      </c>
      <c r="F19" s="2" t="inlineStr">
        <is>
          <t>Exploración interactiva y dashboards ejecutivos</t>
        </is>
      </c>
      <c r="G19" s="34" t="inlineStr">
        <is>
          <t>🔴</t>
        </is>
      </c>
    </row>
    <row r="20" ht="18" customHeight="1">
      <c r="B20" s="2" t="n">
        <v>18</v>
      </c>
      <c r="C20" s="2" t="inlineStr">
        <is>
          <t>BI</t>
        </is>
      </c>
      <c r="D20" s="2" t="inlineStr">
        <is>
          <t>Google Looker</t>
        </is>
      </c>
      <c r="E20" s="2" t="inlineStr">
        <is>
          <t>BI semántico</t>
        </is>
      </c>
      <c r="F20" s="2" t="inlineStr">
        <is>
          <t>Modelos de datos y métricas centralizadas</t>
        </is>
      </c>
      <c r="G20" s="34" t="inlineStr">
        <is>
          <t>🟠</t>
        </is>
      </c>
    </row>
    <row r="21" ht="18" customHeight="1">
      <c r="B21" s="2" t="n">
        <v>19</v>
      </c>
      <c r="C21" s="2" t="inlineStr">
        <is>
          <t>BI</t>
        </is>
      </c>
      <c r="D21" s="2" t="inlineStr">
        <is>
          <t>Qlik Sense</t>
        </is>
      </c>
      <c r="E21" s="2" t="inlineStr">
        <is>
          <t>Analytics</t>
        </is>
      </c>
      <c r="F21" s="2" t="inlineStr">
        <is>
          <t>Análisis asociativo y descubrimiento de relaciones</t>
        </is>
      </c>
      <c r="G21" s="34" t="inlineStr">
        <is>
          <t>🟠</t>
        </is>
      </c>
    </row>
    <row r="22" ht="31.2" customHeight="1">
      <c r="B22" s="2" t="n">
        <v>20</v>
      </c>
      <c r="C22" s="2" t="inlineStr">
        <is>
          <t>IA</t>
        </is>
      </c>
      <c r="D22" s="2" t="inlineStr">
        <is>
          <t>ChatGPT Enterprise</t>
        </is>
      </c>
      <c r="E22" s="2" t="inlineStr">
        <is>
          <t>IA generativa</t>
        </is>
      </c>
      <c r="F22" s="2" t="inlineStr">
        <is>
          <t>Asistente ejecutivo, análisis y generación documental</t>
        </is>
      </c>
      <c r="G22" s="34" t="inlineStr">
        <is>
          <t>🔴</t>
        </is>
      </c>
    </row>
    <row r="23" ht="31.2" customHeight="1">
      <c r="B23" s="2" t="n">
        <v>21</v>
      </c>
      <c r="C23" s="2" t="inlineStr">
        <is>
          <t>IA</t>
        </is>
      </c>
      <c r="D23" s="2" t="inlineStr">
        <is>
          <t>Microsoft Copilot</t>
        </is>
      </c>
      <c r="E23" s="2" t="inlineStr">
        <is>
          <t>IA empresarial</t>
        </is>
      </c>
      <c r="F23" s="2" t="inlineStr">
        <is>
          <t>IA contextual integrada al trabajo</t>
        </is>
      </c>
      <c r="G23" s="34" t="inlineStr">
        <is>
          <t>🔴</t>
        </is>
      </c>
    </row>
    <row r="24" ht="18" customHeight="1">
      <c r="B24" s="2" t="n">
        <v>22</v>
      </c>
      <c r="C24" s="2" t="inlineStr">
        <is>
          <t>IA</t>
        </is>
      </c>
      <c r="D24" s="2" t="inlineStr">
        <is>
          <t>Google Gemini</t>
        </is>
      </c>
      <c r="E24" s="2" t="inlineStr">
        <is>
          <t>IA multimodal</t>
        </is>
      </c>
      <c r="F24" s="2" t="inlineStr">
        <is>
          <t>Documentos, análisis, imágenes y asistentes</t>
        </is>
      </c>
      <c r="G24" s="34" t="inlineStr">
        <is>
          <t>🔴</t>
        </is>
      </c>
    </row>
    <row r="25" ht="31.2" customHeight="1">
      <c r="B25" s="2" t="n">
        <v>23</v>
      </c>
      <c r="C25" s="2" t="inlineStr">
        <is>
          <t>IA</t>
        </is>
      </c>
      <c r="D25" s="2" t="inlineStr">
        <is>
          <t>Claude Enterprise</t>
        </is>
      </c>
      <c r="E25" s="2" t="inlineStr">
        <is>
          <t>Análisis documental</t>
        </is>
      </c>
      <c r="F25" s="2" t="inlineStr">
        <is>
          <t>Lectura de documentos extensos y razonamiento</t>
        </is>
      </c>
      <c r="G25" s="34" t="inlineStr">
        <is>
          <t>🟠</t>
        </is>
      </c>
    </row>
    <row r="26" ht="18" customHeight="1">
      <c r="B26" s="2" t="n">
        <v>24</v>
      </c>
      <c r="C26" s="2" t="inlineStr">
        <is>
          <t>IA</t>
        </is>
      </c>
      <c r="D26" s="2" t="inlineStr">
        <is>
          <t>IBM watsonx</t>
        </is>
      </c>
      <c r="E26" s="2" t="inlineStr">
        <is>
          <t>IA corporativa</t>
        </is>
      </c>
      <c r="F26" s="2" t="inlineStr">
        <is>
          <t>Agentes, gobernanza y modelos empresariales</t>
        </is>
      </c>
      <c r="G26" s="34" t="inlineStr">
        <is>
          <t>🟠</t>
        </is>
      </c>
    </row>
    <row r="27" ht="18" customHeight="1">
      <c r="B27" s="2" t="n">
        <v>25</v>
      </c>
      <c r="C27" s="2" t="inlineStr">
        <is>
          <t>RRHH</t>
        </is>
      </c>
      <c r="D27" s="2" t="inlineStr">
        <is>
          <t>Workday HCM</t>
        </is>
      </c>
      <c r="E27" s="2" t="inlineStr">
        <is>
          <t>Capital humano</t>
        </is>
      </c>
      <c r="F27" s="2" t="inlineStr">
        <is>
          <t>Expediente, estructura, desempeño y analítica</t>
        </is>
      </c>
      <c r="G27" s="34" t="inlineStr">
        <is>
          <t>🔴</t>
        </is>
      </c>
    </row>
    <row r="28" ht="46.8" customHeight="1">
      <c r="B28" s="2" t="n">
        <v>26</v>
      </c>
      <c r="C28" s="2" t="inlineStr">
        <is>
          <t>RRHH</t>
        </is>
      </c>
      <c r="D28" s="2" t="inlineStr">
        <is>
          <t>SAP SuccessFactors</t>
        </is>
      </c>
      <c r="E28" s="2" t="inlineStr">
        <is>
          <t>RRHH empresarial</t>
        </is>
      </c>
      <c r="F28" s="2" t="inlineStr">
        <is>
          <t>Competencias, evaluación, capacitación y desempeño</t>
        </is>
      </c>
      <c r="G28" s="34" t="inlineStr">
        <is>
          <t>🔴</t>
        </is>
      </c>
    </row>
    <row r="29" ht="18" customHeight="1">
      <c r="B29" s="2" t="n">
        <v>27</v>
      </c>
      <c r="C29" s="2" t="inlineStr">
        <is>
          <t>RRHH</t>
        </is>
      </c>
      <c r="D29" s="2" t="inlineStr">
        <is>
          <t>BambooHR</t>
        </is>
      </c>
      <c r="E29" s="2" t="inlineStr">
        <is>
          <t>RRHH simple</t>
        </is>
      </c>
      <c r="F29" s="2" t="inlineStr">
        <is>
          <t>Expediente electrónico, vacaciones y evaluaciones</t>
        </is>
      </c>
      <c r="G29" s="34" t="inlineStr">
        <is>
          <t>🔴</t>
        </is>
      </c>
    </row>
    <row r="30" ht="31.2" customHeight="1">
      <c r="B30" s="2" t="n">
        <v>28</v>
      </c>
      <c r="C30" s="2" t="inlineStr">
        <is>
          <t>RRHH</t>
        </is>
      </c>
      <c r="D30" s="2" t="inlineStr">
        <is>
          <t>ADP Workforce Now</t>
        </is>
      </c>
      <c r="E30" s="2" t="inlineStr">
        <is>
          <t>Nómina/RRHH</t>
        </is>
      </c>
      <c r="F30" s="2" t="inlineStr">
        <is>
          <t>Nómina, asistencia y administración laboral</t>
        </is>
      </c>
      <c r="G30" s="34" t="inlineStr">
        <is>
          <t>🟠</t>
        </is>
      </c>
    </row>
    <row r="31" ht="31.2" customHeight="1">
      <c r="B31" s="2" t="n">
        <v>29</v>
      </c>
      <c r="C31" s="2" t="inlineStr">
        <is>
          <t>Logística</t>
        </is>
      </c>
      <c r="D31" s="2" t="inlineStr">
        <is>
          <t>Oracle SCM Cloud</t>
        </is>
      </c>
      <c r="E31" s="2" t="inlineStr">
        <is>
          <t>Supply Chain</t>
        </is>
      </c>
      <c r="F31" s="2" t="inlineStr">
        <is>
          <t>Compras, planificación, abastecimiento y proveedores</t>
        </is>
      </c>
      <c r="G31" s="34" t="inlineStr">
        <is>
          <t>🔴</t>
        </is>
      </c>
    </row>
    <row r="32" ht="18" customHeight="1">
      <c r="B32" s="2" t="n">
        <v>30</v>
      </c>
      <c r="C32" s="2" t="inlineStr">
        <is>
          <t>Logística</t>
        </is>
      </c>
      <c r="D32" s="2" t="inlineStr">
        <is>
          <t>SAP IBP / SCM</t>
        </is>
      </c>
      <c r="E32" s="2" t="inlineStr">
        <is>
          <t>Planificación</t>
        </is>
      </c>
      <c r="F32" s="2" t="inlineStr">
        <is>
          <t>Demanda, suministro, inventario y S&amp;OP</t>
        </is>
      </c>
      <c r="G32" s="34" t="inlineStr">
        <is>
          <t>🔴</t>
        </is>
      </c>
    </row>
    <row r="33" ht="18" customHeight="1">
      <c r="B33" s="2" t="n">
        <v>31</v>
      </c>
      <c r="C33" s="2" t="inlineStr">
        <is>
          <t>Logística</t>
        </is>
      </c>
      <c r="D33" s="2" t="inlineStr">
        <is>
          <t>Blue Yonder</t>
        </is>
      </c>
      <c r="E33" s="2" t="inlineStr">
        <is>
          <t>Forecasting</t>
        </is>
      </c>
      <c r="F33" s="2" t="inlineStr">
        <is>
          <t>Pronóstico, reposición y optimización de inventarios</t>
        </is>
      </c>
      <c r="G33" s="34" t="inlineStr">
        <is>
          <t>🔴</t>
        </is>
      </c>
    </row>
    <row r="34" ht="31.2" customHeight="1">
      <c r="B34" s="2" t="n">
        <v>32</v>
      </c>
      <c r="C34" s="2" t="inlineStr">
        <is>
          <t>Logística</t>
        </is>
      </c>
      <c r="D34" s="2" t="inlineStr">
        <is>
          <t>Manhattan Active</t>
        </is>
      </c>
      <c r="E34" s="2" t="inlineStr">
        <is>
          <t>WMS/retail</t>
        </is>
      </c>
      <c r="F34" s="2" t="inlineStr">
        <is>
          <t>CEDIS, picking, despacho y omnicanalidad</t>
        </is>
      </c>
      <c r="G34" s="34" t="inlineStr">
        <is>
          <t>🔴</t>
        </is>
      </c>
    </row>
    <row r="35" ht="31.2" customHeight="1">
      <c r="B35" s="2" t="n">
        <v>33</v>
      </c>
      <c r="C35" s="2" t="inlineStr">
        <is>
          <t>Inventarios</t>
        </is>
      </c>
      <c r="D35" s="2" t="inlineStr">
        <is>
          <t>Cin7</t>
        </is>
      </c>
      <c r="E35" s="2" t="inlineStr">
        <is>
          <t>Inventario</t>
        </is>
      </c>
      <c r="F35" s="2" t="inlineStr">
        <is>
          <t>Stock multibodega, órdenes y reposición</t>
        </is>
      </c>
      <c r="G35" s="34" t="inlineStr">
        <is>
          <t>🔴</t>
        </is>
      </c>
    </row>
    <row r="36" ht="31.2" customHeight="1">
      <c r="B36" s="2" t="n">
        <v>34</v>
      </c>
      <c r="C36" s="2" t="inlineStr">
        <is>
          <t>Inventarios</t>
        </is>
      </c>
      <c r="D36" s="2" t="inlineStr">
        <is>
          <t>Fishbowl</t>
        </is>
      </c>
      <c r="E36" s="2" t="inlineStr">
        <is>
          <t>Inventarios/WMS</t>
        </is>
      </c>
      <c r="F36" s="2" t="inlineStr">
        <is>
          <t>Recepción, ubicación, picking y trazabilidad</t>
        </is>
      </c>
      <c r="G36" s="34" t="inlineStr">
        <is>
          <t>🟠</t>
        </is>
      </c>
    </row>
    <row r="37" ht="31.2" customHeight="1">
      <c r="B37" s="2" t="n">
        <v>35</v>
      </c>
      <c r="C37" s="2" t="inlineStr">
        <is>
          <t>Inventarios</t>
        </is>
      </c>
      <c r="D37" s="2" t="inlineStr">
        <is>
          <t>Zoho Inventory</t>
        </is>
      </c>
      <c r="E37" s="2" t="inlineStr">
        <is>
          <t>Inventario cloud</t>
        </is>
      </c>
      <c r="F37" s="2" t="inlineStr">
        <is>
          <t>Transferencias, pedidos y existencias</t>
        </is>
      </c>
      <c r="G37" s="34" t="inlineStr">
        <is>
          <t>🔴</t>
        </is>
      </c>
    </row>
    <row r="38" ht="31.2" customHeight="1">
      <c r="B38" s="2" t="n">
        <v>36</v>
      </c>
      <c r="C38" s="2" t="inlineStr">
        <is>
          <t>Inventarios</t>
        </is>
      </c>
      <c r="D38" s="2" t="inlineStr">
        <is>
          <t>Katana</t>
        </is>
      </c>
      <c r="E38" s="2" t="inlineStr">
        <is>
          <t>Control de stock</t>
        </is>
      </c>
      <c r="F38" s="2" t="inlineStr">
        <is>
          <t>Disponibilidad, demanda y planificación</t>
        </is>
      </c>
      <c r="G38" s="34" t="inlineStr">
        <is>
          <t>🟠</t>
        </is>
      </c>
    </row>
    <row r="39" ht="31.2" customHeight="1">
      <c r="B39" s="2" t="n">
        <v>37</v>
      </c>
      <c r="C39" s="2" t="inlineStr">
        <is>
          <t>Finanzas</t>
        </is>
      </c>
      <c r="D39" s="2" t="inlineStr">
        <is>
          <t>QuickBooks Online</t>
        </is>
      </c>
      <c r="E39" s="2" t="inlineStr">
        <is>
          <t>Contabilidad</t>
        </is>
      </c>
      <c r="F39" s="2" t="inlineStr">
        <is>
          <t>Catálogo contable, CxC, CxP y conciliaciones</t>
        </is>
      </c>
      <c r="G39" s="34" t="inlineStr">
        <is>
          <t>🔴</t>
        </is>
      </c>
    </row>
    <row r="40" ht="31.2" customHeight="1">
      <c r="B40" s="2" t="n">
        <v>38</v>
      </c>
      <c r="C40" s="2" t="inlineStr">
        <is>
          <t>Finanzas</t>
        </is>
      </c>
      <c r="D40" s="2" t="inlineStr">
        <is>
          <t>Xero</t>
        </is>
      </c>
      <c r="E40" s="2" t="inlineStr">
        <is>
          <t>Contabilidad cloud</t>
        </is>
      </c>
      <c r="F40" s="2" t="inlineStr">
        <is>
          <t>Bancos, conciliaciones, facturación y flujo</t>
        </is>
      </c>
      <c r="G40" s="34" t="inlineStr">
        <is>
          <t>🟠</t>
        </is>
      </c>
    </row>
    <row r="41" ht="31.2" customHeight="1">
      <c r="B41" s="2" t="n">
        <v>39</v>
      </c>
      <c r="C41" s="2" t="inlineStr">
        <is>
          <t>Finanzas</t>
        </is>
      </c>
      <c r="D41" s="2" t="inlineStr">
        <is>
          <t>Sage Intacct</t>
        </is>
      </c>
      <c r="E41" s="2" t="inlineStr">
        <is>
          <t>Finanzas corporativas</t>
        </is>
      </c>
      <c r="F41" s="2" t="inlineStr">
        <is>
          <t>Centros de costo, consolidación y reportes</t>
        </is>
      </c>
      <c r="G41" s="34" t="inlineStr">
        <is>
          <t>🔴</t>
        </is>
      </c>
    </row>
    <row r="42" ht="31.2" customHeight="1">
      <c r="B42" s="2" t="n">
        <v>40</v>
      </c>
      <c r="C42" s="2" t="inlineStr">
        <is>
          <t>Finanzas</t>
        </is>
      </c>
      <c r="D42" s="2" t="inlineStr">
        <is>
          <t>Oracle EPM</t>
        </is>
      </c>
      <c r="E42" s="2" t="inlineStr">
        <is>
          <t>Planeación financiera</t>
        </is>
      </c>
      <c r="F42" s="2" t="inlineStr">
        <is>
          <t>Presupuestos, escenarios, forecast y consolidación</t>
        </is>
      </c>
      <c r="G42" s="34" t="inlineStr">
        <is>
          <t>🔴</t>
        </is>
      </c>
    </row>
    <row r="43" ht="18" customHeight="1">
      <c r="B43" s="2" t="n">
        <v>41</v>
      </c>
      <c r="C43" s="2" t="inlineStr">
        <is>
          <t>Marketing</t>
        </is>
      </c>
      <c r="D43" s="2" t="inlineStr">
        <is>
          <t>Mailchimp</t>
        </is>
      </c>
      <c r="E43" s="2" t="inlineStr">
        <is>
          <t>Email marketing</t>
        </is>
      </c>
      <c r="F43" s="2" t="inlineStr">
        <is>
          <t>Campañas, segmentación y automatización</t>
        </is>
      </c>
      <c r="G43" s="34" t="inlineStr">
        <is>
          <t>🟠</t>
        </is>
      </c>
    </row>
    <row r="44" ht="31.2" customHeight="1">
      <c r="B44" s="2" t="n">
        <v>42</v>
      </c>
      <c r="C44" s="2" t="inlineStr">
        <is>
          <t>Marketing</t>
        </is>
      </c>
      <c r="D44" s="2" t="inlineStr">
        <is>
          <t>HubSpot Marketing Hub</t>
        </is>
      </c>
      <c r="E44" s="2" t="inlineStr">
        <is>
          <t>Inbound marketing</t>
        </is>
      </c>
      <c r="F44" s="2" t="inlineStr">
        <is>
          <t>Leads, journeys, scoring y campañas</t>
        </is>
      </c>
      <c r="G44" s="34" t="inlineStr">
        <is>
          <t>🔴</t>
        </is>
      </c>
    </row>
    <row r="45" ht="46.8" customHeight="1">
      <c r="B45" s="2" t="n">
        <v>43</v>
      </c>
      <c r="C45" s="2" t="inlineStr">
        <is>
          <t>Marketing</t>
        </is>
      </c>
      <c r="D45" s="2" t="inlineStr">
        <is>
          <t>Salesforce Marketing Cloud</t>
        </is>
      </c>
      <c r="E45" s="2" t="inlineStr">
        <is>
          <t>Marketing enterprise</t>
        </is>
      </c>
      <c r="F45" s="2" t="inlineStr">
        <is>
          <t>Segmentación y automatización multicanal</t>
        </is>
      </c>
      <c r="G45" s="34" t="inlineStr">
        <is>
          <t>🟠</t>
        </is>
      </c>
    </row>
    <row r="46" ht="31.2" customHeight="1">
      <c r="B46" s="2" t="n">
        <v>44</v>
      </c>
      <c r="C46" s="2" t="inlineStr">
        <is>
          <t>Marketing</t>
        </is>
      </c>
      <c r="D46" s="2" t="inlineStr">
        <is>
          <t>Klaviyo</t>
        </is>
      </c>
      <c r="E46" s="2" t="inlineStr">
        <is>
          <t>Retail/e-commerce</t>
        </is>
      </c>
      <c r="F46" s="2" t="inlineStr">
        <is>
          <t>Segmentación por compra y comportamiento</t>
        </is>
      </c>
      <c r="G46" s="34" t="inlineStr">
        <is>
          <t>🔴</t>
        </is>
      </c>
    </row>
    <row r="47" ht="31.2" customHeight="1">
      <c r="B47" s="2" t="n">
        <v>45</v>
      </c>
      <c r="C47" s="2" t="inlineStr">
        <is>
          <t>Marketing</t>
        </is>
      </c>
      <c r="D47" s="2" t="inlineStr">
        <is>
          <t>ActiveCampaign</t>
        </is>
      </c>
      <c r="E47" s="2" t="inlineStr">
        <is>
          <t>Automatización</t>
        </is>
      </c>
      <c r="F47" s="2" t="inlineStr">
        <is>
          <t>Reglas y secuencias de comunicación</t>
        </is>
      </c>
      <c r="G47" s="34" t="inlineStr">
        <is>
          <t>🟠</t>
        </is>
      </c>
    </row>
    <row r="48" ht="18" customHeight="1">
      <c r="B48" s="2" t="n">
        <v>46</v>
      </c>
      <c r="C48" s="2" t="inlineStr">
        <is>
          <t>Proyectos</t>
        </is>
      </c>
      <c r="D48" s="2" t="inlineStr">
        <is>
          <t>Jira</t>
        </is>
      </c>
      <c r="E48" s="2" t="inlineStr">
        <is>
          <t>Seguimiento</t>
        </is>
      </c>
      <c r="F48" s="2" t="inlineStr">
        <is>
          <t>Backlog, incidencias, estados y responsables</t>
        </is>
      </c>
      <c r="G48" s="34" t="inlineStr">
        <is>
          <t>🔴</t>
        </is>
      </c>
    </row>
    <row r="49" ht="18" customHeight="1">
      <c r="B49" s="2" t="n">
        <v>47</v>
      </c>
      <c r="C49" s="2" t="inlineStr">
        <is>
          <t>Proyectos</t>
        </is>
      </c>
      <c r="D49" s="2" t="inlineStr">
        <is>
          <t>Monday.com</t>
        </is>
      </c>
      <c r="E49" s="2" t="inlineStr">
        <is>
          <t>Gestión visual</t>
        </is>
      </c>
      <c r="F49" s="2" t="inlineStr">
        <is>
          <t>Tableros, responsables, fechas y automatizaciones</t>
        </is>
      </c>
      <c r="G49" s="34" t="inlineStr">
        <is>
          <t>🔴</t>
        </is>
      </c>
    </row>
    <row r="50" ht="18" customHeight="1">
      <c r="B50" s="2" t="n">
        <v>48</v>
      </c>
      <c r="C50" s="2" t="inlineStr">
        <is>
          <t>Proyectos</t>
        </is>
      </c>
      <c r="D50" s="2" t="inlineStr">
        <is>
          <t>Smartsheet</t>
        </is>
      </c>
      <c r="E50" s="2" t="inlineStr">
        <is>
          <t>Gestión tabular</t>
        </is>
      </c>
      <c r="F50" s="2" t="inlineStr">
        <is>
          <t>Cronogramas, dependencias y dashboards</t>
        </is>
      </c>
      <c r="G50" s="34" t="inlineStr">
        <is>
          <t>🟠</t>
        </is>
      </c>
    </row>
    <row r="51" ht="18" customHeight="1">
      <c r="B51" s="2" t="n">
        <v>49</v>
      </c>
      <c r="C51" s="2" t="inlineStr">
        <is>
          <t>Proyectos</t>
        </is>
      </c>
      <c r="D51" s="2" t="inlineStr">
        <is>
          <t>Trello</t>
        </is>
      </c>
      <c r="E51" s="2" t="inlineStr">
        <is>
          <t>Kanban</t>
        </is>
      </c>
      <c r="F51" s="2" t="inlineStr">
        <is>
          <t>Tableros Kanban y flujo de actividades</t>
        </is>
      </c>
      <c r="G51" s="34" t="inlineStr">
        <is>
          <t>🔴</t>
        </is>
      </c>
    </row>
    <row r="52" ht="31.2" customHeight="1">
      <c r="B52" s="2" t="n">
        <v>50</v>
      </c>
      <c r="C52" s="2" t="inlineStr">
        <is>
          <t>Proyectos</t>
        </is>
      </c>
      <c r="D52" s="2" t="inlineStr">
        <is>
          <t>Asana</t>
        </is>
      </c>
      <c r="E52" s="2" t="inlineStr">
        <is>
          <t>Gestión de proyectos</t>
        </is>
      </c>
      <c r="F52" s="2" t="inlineStr">
        <is>
          <t>Objetivos, proyectos, tareas y dependencias</t>
        </is>
      </c>
      <c r="G52" s="34" t="inlineStr">
        <is>
          <t>🔴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3:D18"/>
  <sheetViews>
    <sheetView workbookViewId="0">
      <selection activeCell="B18" sqref="B18"/>
    </sheetView>
  </sheetViews>
  <sheetFormatPr baseColWidth="10" defaultRowHeight="14.4"/>
  <cols>
    <col width="22.33203125" customWidth="1" min="2" max="2"/>
    <col width="35.33203125" customWidth="1" min="3" max="3"/>
    <col width="51.77734375" customWidth="1" min="4" max="4"/>
  </cols>
  <sheetData>
    <row r="2" ht="15" customHeight="1" thickBot="1"/>
    <row r="3" ht="16.2" customHeight="1" thickBot="1">
      <c r="B3" s="1" t="inlineStr">
        <is>
          <t>Módulo Antigravity</t>
        </is>
      </c>
      <c r="C3" s="1" t="inlineStr">
        <is>
          <t>Inspiración funcional</t>
        </is>
      </c>
      <c r="D3" s="1" t="inlineStr">
        <is>
          <t>Qué debería contener</t>
        </is>
      </c>
    </row>
    <row r="4" ht="31.8" customHeight="1" thickBot="1">
      <c r="B4" s="1" t="inlineStr">
        <is>
          <t>01. ERP Core</t>
        </is>
      </c>
      <c r="C4" s="1" t="inlineStr">
        <is>
          <t>SAP + Odoo + Dynamics</t>
        </is>
      </c>
      <c r="D4" s="1" t="inlineStr">
        <is>
          <t>Empresas, sucursales, usuarios, productos, clientes, proveedores</t>
        </is>
      </c>
    </row>
    <row r="5" ht="31.8" customHeight="1" thickBot="1">
      <c r="B5" s="1" t="inlineStr">
        <is>
          <t>02. Compras</t>
        </is>
      </c>
      <c r="C5" s="1" t="inlineStr">
        <is>
          <t>SAP + Oracle SCM</t>
        </is>
      </c>
      <c r="D5" s="1" t="inlineStr">
        <is>
          <t>Solicitud → cotización → comparación → aprobación → OC</t>
        </is>
      </c>
    </row>
    <row r="6" ht="31.8" customHeight="1" thickBot="1">
      <c r="B6" s="1" t="inlineStr">
        <is>
          <t>03. Abastecimiento</t>
        </is>
      </c>
      <c r="C6" s="1" t="inlineStr">
        <is>
          <t>Blue Yonder + SAP IBP</t>
        </is>
      </c>
      <c r="D6" s="1" t="inlineStr">
        <is>
          <t>Forecast, ROP, stock seguridad, MOQ, sugerencia automática de compra</t>
        </is>
      </c>
    </row>
    <row r="7" ht="31.8" customHeight="1" thickBot="1">
      <c r="B7" s="1" t="inlineStr">
        <is>
          <t>04. CEDIS / WMS</t>
        </is>
      </c>
      <c r="C7" s="1" t="inlineStr">
        <is>
          <t>Manhattan + Fishbowl</t>
        </is>
      </c>
      <c r="D7" s="1" t="inlineStr">
        <is>
          <t>Recepción, ubicación, picking, despacho, trazabilidad</t>
        </is>
      </c>
    </row>
    <row r="8" ht="16.2" customHeight="1" thickBot="1">
      <c r="B8" s="1" t="inlineStr">
        <is>
          <t>05. Inventarios</t>
        </is>
      </c>
      <c r="C8" s="1" t="inlineStr">
        <is>
          <t>Odoo + Zoho Inventory</t>
        </is>
      </c>
      <c r="D8" s="1" t="inlineStr">
        <is>
          <t>Kardex, transferencias, conteos, ajustes, mermas</t>
        </is>
      </c>
    </row>
    <row r="9" ht="16.2" customHeight="1" thickBot="1">
      <c r="B9" s="1" t="inlineStr">
        <is>
          <t>06. Ventas / POS</t>
        </is>
      </c>
      <c r="C9" s="1" t="inlineStr">
        <is>
          <t>Odoo + Dynamics</t>
        </is>
      </c>
      <c r="D9" s="1" t="inlineStr">
        <is>
          <t>Ventas, devoluciones, promociones, precios</t>
        </is>
      </c>
    </row>
    <row r="10" ht="16.2" customHeight="1" thickBot="1">
      <c r="B10" s="1" t="inlineStr">
        <is>
          <t>07. CRM</t>
        </is>
      </c>
      <c r="C10" s="1" t="inlineStr">
        <is>
          <t>Salesforce + HubSpot + Pipedrive</t>
        </is>
      </c>
      <c r="D10" s="1" t="inlineStr">
        <is>
          <t>Cliente 360°, pipeline, oportunidades, reclamos</t>
        </is>
      </c>
    </row>
    <row r="11" ht="16.2" customHeight="1" thickBot="1">
      <c r="B11" s="1" t="inlineStr">
        <is>
          <t>08. BPM</t>
        </is>
      </c>
      <c r="C11" s="1" t="inlineStr">
        <is>
          <t>Bizagi + Power Automate</t>
        </is>
      </c>
      <c r="D11" s="1" t="inlineStr">
        <is>
          <t>Procesos, formularios, aprobaciones, SLA</t>
        </is>
      </c>
    </row>
    <row r="12" ht="16.2" customHeight="1" thickBot="1">
      <c r="B12" s="1" t="inlineStr">
        <is>
          <t>09. Finanzas</t>
        </is>
      </c>
      <c r="C12" s="1" t="inlineStr">
        <is>
          <t>SAP + QuickBooks + Sage</t>
        </is>
      </c>
      <c r="D12" s="1" t="inlineStr">
        <is>
          <t>Contabilidad, tesorería, CxC, CxP, bancos</t>
        </is>
      </c>
    </row>
    <row r="13" ht="16.2" customHeight="1" thickBot="1">
      <c r="B13" s="1" t="inlineStr">
        <is>
          <t>10. RRHH</t>
        </is>
      </c>
      <c r="C13" s="1" t="inlineStr">
        <is>
          <t>Workday + BambooHR</t>
        </is>
      </c>
      <c r="D13" s="1" t="inlineStr">
        <is>
          <t>Personal, asistencia, capacitación, desempeño</t>
        </is>
      </c>
    </row>
    <row r="14" ht="31.8" customHeight="1" thickBot="1">
      <c r="B14" s="1" t="inlineStr">
        <is>
          <t>11. Proyectos / SIGET</t>
        </is>
      </c>
      <c r="C14" s="1" t="inlineStr">
        <is>
          <t>Monday + Jira + Asana</t>
        </is>
      </c>
      <c r="D14" s="1" t="inlineStr">
        <is>
          <t>Actividades, responsables, vencimientos, cumplimiento</t>
        </is>
      </c>
    </row>
    <row r="15" ht="31.8" customHeight="1" thickBot="1">
      <c r="B15" s="1" t="inlineStr">
        <is>
          <t>12. BI / KPI</t>
        </is>
      </c>
      <c r="C15" s="1" t="inlineStr">
        <is>
          <t>Power BI + Tableau</t>
        </is>
      </c>
      <c r="D15" s="1" t="inlineStr">
        <is>
          <t>Dashboards, semáforos, Pareto, ranking, drill-down</t>
        </is>
      </c>
    </row>
    <row r="16" ht="16.2" customHeight="1" thickBot="1">
      <c r="B16" s="1" t="inlineStr">
        <is>
          <t>13. Marketing</t>
        </is>
      </c>
      <c r="C16" s="1" t="inlineStr">
        <is>
          <t>HubSpot + Klaviyo</t>
        </is>
      </c>
      <c r="D16" s="1" t="inlineStr">
        <is>
          <t>Segmentación, campañas, fidelización</t>
        </is>
      </c>
    </row>
    <row r="17" ht="31.8" customHeight="1" thickBot="1">
      <c r="B17" s="1" t="inlineStr">
        <is>
          <t>14. Gestión documental ISO</t>
        </is>
      </c>
      <c r="C17" s="1" t="inlineStr">
        <is>
          <t>SharePoint/BPM</t>
        </is>
      </c>
      <c r="D17" s="1" t="inlineStr">
        <is>
          <t>SOP, políticas, procedimientos, versiones, aprobaciones</t>
        </is>
      </c>
    </row>
    <row r="18" ht="16.2" customHeight="1" thickBot="1">
      <c r="B18" s="1" t="inlineStr">
        <is>
          <t>15. IA Empresarial</t>
        </is>
      </c>
      <c r="C18" s="1" t="inlineStr">
        <is>
          <t>ChatGPT + Copilot + Gemini</t>
        </is>
      </c>
      <c r="D18" s="1" t="inlineStr">
        <is>
          <t>Agentes especializados y análisis predictivo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B30"/>
  <sheetViews>
    <sheetView topLeftCell="A3" workbookViewId="0">
      <selection activeCell="B4" sqref="B4:B29"/>
    </sheetView>
  </sheetViews>
  <sheetFormatPr baseColWidth="10" defaultRowHeight="14.4"/>
  <cols>
    <col width="50" customWidth="1" min="2" max="2"/>
  </cols>
  <sheetData>
    <row r="2" ht="18" customHeight="1">
      <c r="B2" s="35" t="inlineStr">
        <is>
          <t>Brilo ERP rendimiento.</t>
        </is>
      </c>
    </row>
    <row r="3">
      <c r="B3" s="36" t="n"/>
    </row>
    <row r="4">
      <c r="B4" s="36" t="n"/>
    </row>
    <row r="5">
      <c r="B5" s="38" t="inlineStr">
        <is>
          <t>Ventas</t>
        </is>
      </c>
    </row>
    <row r="6">
      <c r="B6" s="39" t="inlineStr">
        <is>
          <t>Ver más</t>
        </is>
      </c>
    </row>
    <row r="7">
      <c r="B7" s="39" t="n"/>
    </row>
    <row r="8" ht="28.8" customHeight="1">
      <c r="B8" s="38" t="inlineStr">
        <is>
          <t>Cuentas por cobrar</t>
        </is>
      </c>
    </row>
    <row r="9">
      <c r="B9" s="39" t="inlineStr">
        <is>
          <t>Ver más</t>
        </is>
      </c>
    </row>
    <row r="10">
      <c r="B10" s="39" t="n"/>
    </row>
    <row r="11">
      <c r="B11" s="38" t="inlineStr">
        <is>
          <t>Compras</t>
        </is>
      </c>
    </row>
    <row r="12">
      <c r="B12" s="39" t="inlineStr">
        <is>
          <t>Ver más</t>
        </is>
      </c>
    </row>
    <row r="13">
      <c r="B13" s="39" t="n"/>
    </row>
    <row r="14" ht="28.8" customHeight="1">
      <c r="B14" s="38" t="inlineStr">
        <is>
          <t>Cuentas por pagar</t>
        </is>
      </c>
    </row>
    <row r="15">
      <c r="B15" s="39" t="inlineStr">
        <is>
          <t>Ver más</t>
        </is>
      </c>
    </row>
    <row r="16">
      <c r="B16" s="39" t="n"/>
    </row>
    <row r="17">
      <c r="B17" s="38" t="inlineStr">
        <is>
          <t>Bancos</t>
        </is>
      </c>
    </row>
    <row r="18">
      <c r="B18" s="39" t="inlineStr">
        <is>
          <t>Ver más</t>
        </is>
      </c>
    </row>
    <row r="19">
      <c r="B19" s="39" t="n"/>
    </row>
    <row r="20">
      <c r="B20" s="38" t="inlineStr">
        <is>
          <t>RRHH</t>
        </is>
      </c>
    </row>
    <row r="21">
      <c r="B21" s="39" t="inlineStr">
        <is>
          <t>Ver más</t>
        </is>
      </c>
    </row>
    <row r="22">
      <c r="B22" s="39" t="n"/>
    </row>
    <row r="23">
      <c r="B23" s="38" t="inlineStr">
        <is>
          <t>Contabilidad</t>
        </is>
      </c>
    </row>
    <row r="24">
      <c r="B24" s="39" t="inlineStr">
        <is>
          <t>Ver más</t>
        </is>
      </c>
    </row>
    <row r="25">
      <c r="B25" s="39" t="n"/>
    </row>
    <row r="26">
      <c r="B26" s="38" t="inlineStr">
        <is>
          <t>Inventario</t>
        </is>
      </c>
    </row>
    <row r="27">
      <c r="B27" s="39" t="inlineStr">
        <is>
          <t>Ver más</t>
        </is>
      </c>
    </row>
    <row r="28">
      <c r="B28" s="39" t="n"/>
    </row>
    <row r="29" ht="46.8" customHeight="1">
      <c r="B29" s="37" t="inlineStr">
        <is>
          <t>Admin. del Sistema</t>
        </is>
      </c>
    </row>
    <row r="30">
      <c r="B30" s="39" t="inlineStr">
        <is>
          <t>Ver más</t>
        </is>
      </c>
    </row>
  </sheetData>
  <hyperlinks>
    <hyperlink xmlns:r="http://schemas.openxmlformats.org/officeDocument/2006/relationships" ref="B5" display="https://briloerp.com/modulo-de-ventas/" r:id="rId1"/>
    <hyperlink xmlns:r="http://schemas.openxmlformats.org/officeDocument/2006/relationships" ref="B8" display="https://briloerp.com/modulo-de-cuentas-por-cobrar/" r:id="rId2"/>
    <hyperlink xmlns:r="http://schemas.openxmlformats.org/officeDocument/2006/relationships" ref="B11" display="https://briloerp.com/modulo-de-compras/" r:id="rId3"/>
    <hyperlink xmlns:r="http://schemas.openxmlformats.org/officeDocument/2006/relationships" ref="B14" display="https://briloerp.com/modulo-cuentas-por-pagar/" r:id="rId4"/>
    <hyperlink xmlns:r="http://schemas.openxmlformats.org/officeDocument/2006/relationships" ref="B17" display="https://briloerp.com/modulo-bancos/" r:id="rId5"/>
    <hyperlink xmlns:r="http://schemas.openxmlformats.org/officeDocument/2006/relationships" ref="B20" display="https://briloerp.com/recursos-humanos/" r:id="rId6"/>
    <hyperlink xmlns:r="http://schemas.openxmlformats.org/officeDocument/2006/relationships" ref="B23" display="https://briloerp.com/contabilidad-general/" r:id="rId7"/>
    <hyperlink xmlns:r="http://schemas.openxmlformats.org/officeDocument/2006/relationships" ref="B26" display="https://briloerp.com/modulo-inventario/" r:id="rId8"/>
  </hyperlinks>
  <pageMargins left="0.7" right="0.7" top="0.75" bottom="0.75" header="0.3" footer="0.3"/>
  <drawing xmlns:r="http://schemas.openxmlformats.org/officeDocument/2006/relationships" r:id="rId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2026-09-19T19:45:38Z</dcterms:created>
  <dcterms:modified xmlns:dcterms="http://purl.org/dc/terms/" xmlns:xsi="http://www.w3.org/2001/XMLSchema-instance" xsi:type="dcterms:W3CDTF">2026-10-17T14:38:43Z</dcterms:modified>
  <cp:lastModifiedBy>Emilio Belismelis</cp:lastModifiedBy>
</cp:coreProperties>
</file>